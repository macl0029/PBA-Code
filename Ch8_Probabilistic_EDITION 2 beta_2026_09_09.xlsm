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style5.xml" ContentType="application/vnd.ms-office.chartstyle+xml"/>
  <Override PartName="/xl/charts/colors5.xml" ContentType="application/vnd.ms-office.chartcolorstyle+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trlProps/ctrlProp6.xml" ContentType="application/vnd.ms-excel.controlproperties+xml"/>
  <Override PartName="/xl/comments4.xml" ContentType="application/vnd.openxmlformats-officedocument.spreadsheetml.comments+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charts/chart19.xml" ContentType="application/vnd.openxmlformats-officedocument.drawingml.chart+xml"/>
  <Override PartName="/xl/charts/style8.xml" ContentType="application/vnd.ms-office.chartstyle+xml"/>
  <Override PartName="/xl/charts/colors8.xml" ContentType="application/vnd.ms-office.chartcolorstyle+xml"/>
  <Override PartName="/xl/charts/chart20.xml" ContentType="application/vnd.openxmlformats-officedocument.drawingml.chart+xml"/>
  <Override PartName="/xl/charts/style9.xml" ContentType="application/vnd.ms-office.chartstyle+xml"/>
  <Override PartName="/xl/charts/colors9.xml" ContentType="application/vnd.ms-office.chartcolorstyle+xml"/>
  <Override PartName="/xl/charts/chart21.xml" ContentType="application/vnd.openxmlformats-officedocument.drawingml.chart+xml"/>
  <Override PartName="/xl/charts/style10.xml" ContentType="application/vnd.ms-office.chartstyle+xml"/>
  <Override PartName="/xl/charts/colors10.xml" ContentType="application/vnd.ms-office.chartcolorstyle+xml"/>
  <Override PartName="/xl/charts/chart22.xml" ContentType="application/vnd.openxmlformats-officedocument.drawingml.chart+xml"/>
  <Override PartName="/xl/charts/style11.xml" ContentType="application/vnd.ms-office.chartstyle+xml"/>
  <Override PartName="/xl/charts/colors11.xml" ContentType="application/vnd.ms-office.chartcolorstyle+xml"/>
  <Override PartName="/xl/charts/chart23.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bushare-my.sharepoint.com/personal/mfox_bu_edu/Documents/Desktop/"/>
    </mc:Choice>
  </mc:AlternateContent>
  <xr:revisionPtr revIDLastSave="4" documentId="8_{F2FE7AA9-FE6F-4D0A-BE95-AAEFA528F0D6}" xr6:coauthVersionLast="47" xr6:coauthVersionMax="47" xr10:uidLastSave="{D03CE408-2E1C-4066-B071-E4DFBACF95B0}"/>
  <bookViews>
    <workbookView xWindow="-110" yWindow="-110" windowWidth="19420" windowHeight="11500" tabRatio="601" activeTab="3" xr2:uid="{00000000-000D-0000-FFFF-FFFF00000000}"/>
  </bookViews>
  <sheets>
    <sheet name="Cover" sheetId="10" r:id="rId1"/>
    <sheet name="Exp Misc" sheetId="11" r:id="rId2"/>
    <sheet name="Dis Misc" sheetId="6" r:id="rId3"/>
    <sheet name="Unmeas Conf" sheetId="13" r:id="rId4"/>
    <sheet name="Sel Bias" sheetId="12"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8" i="13" l="1"/>
  <c r="E27" i="11"/>
  <c r="K31" i="11" s="1"/>
  <c r="B8" i="12"/>
  <c r="AW8" i="13"/>
  <c r="AV8" i="13"/>
  <c r="AU8" i="13"/>
  <c r="AU4" i="13"/>
  <c r="AW3" i="13"/>
  <c r="AV3" i="13"/>
  <c r="AU3" i="13"/>
  <c r="AV9" i="13"/>
  <c r="AU9" i="13"/>
  <c r="AU10" i="13"/>
  <c r="AW10" i="13"/>
  <c r="AV10" i="13"/>
  <c r="AV8" i="11"/>
  <c r="AX5" i="12" l="1"/>
  <c r="AZ5" i="12" s="1"/>
  <c r="AX10" i="12"/>
  <c r="AZ10" i="12" s="1"/>
  <c r="AX9" i="12"/>
  <c r="AZ9" i="12" s="1"/>
  <c r="AZ8" i="12"/>
  <c r="AY8" i="12"/>
  <c r="AX8" i="12"/>
  <c r="BF10" i="12"/>
  <c r="BF9" i="12"/>
  <c r="BF8" i="12"/>
  <c r="AX4" i="12"/>
  <c r="AY4" i="12" s="1"/>
  <c r="AZ3" i="12"/>
  <c r="AY3" i="12"/>
  <c r="AX3" i="12"/>
  <c r="AW4" i="13"/>
  <c r="AW5" i="13"/>
  <c r="AV5" i="13"/>
  <c r="AU5" i="13"/>
  <c r="BC10" i="13"/>
  <c r="BC9" i="13"/>
  <c r="BC8" i="13"/>
  <c r="AV9" i="6"/>
  <c r="AV3" i="6"/>
  <c r="AW3" i="11"/>
  <c r="AV3" i="11"/>
  <c r="AU10" i="11"/>
  <c r="AW10" i="11" s="1"/>
  <c r="AU9" i="11"/>
  <c r="AW9" i="11" s="1"/>
  <c r="AW8" i="11"/>
  <c r="AU8" i="11"/>
  <c r="BC10" i="11"/>
  <c r="BC9" i="11"/>
  <c r="BC8" i="11"/>
  <c r="AU5" i="11"/>
  <c r="AW5" i="11" s="1"/>
  <c r="AU4" i="11"/>
  <c r="AW4" i="11" s="1"/>
  <c r="AU3" i="11"/>
  <c r="AW11" i="6"/>
  <c r="AV11" i="6"/>
  <c r="AU11" i="6"/>
  <c r="AW10" i="6"/>
  <c r="AV10" i="6"/>
  <c r="AU10" i="6"/>
  <c r="AW9" i="6"/>
  <c r="AU9" i="6"/>
  <c r="AW5" i="6"/>
  <c r="AV5" i="6"/>
  <c r="AU5" i="6"/>
  <c r="AW4" i="6"/>
  <c r="AV4" i="6"/>
  <c r="AU4" i="6"/>
  <c r="AW3" i="6"/>
  <c r="AU3" i="6"/>
  <c r="BC11" i="6"/>
  <c r="BC10" i="6"/>
  <c r="BC9" i="6"/>
  <c r="AV9" i="11" l="1"/>
  <c r="AV10" i="11"/>
  <c r="AV5" i="11"/>
  <c r="AV4" i="11"/>
  <c r="AZ4" i="12"/>
  <c r="AY9" i="12"/>
  <c r="AY10" i="12"/>
  <c r="AY5" i="12"/>
  <c r="AW9" i="13"/>
  <c r="AV4" i="13"/>
  <c r="BF5" i="12" l="1"/>
  <c r="BF4" i="12"/>
  <c r="BF3" i="12"/>
  <c r="BC5" i="13"/>
  <c r="BC4" i="13"/>
  <c r="BC3" i="13"/>
  <c r="BC5" i="6"/>
  <c r="BC4" i="6"/>
  <c r="BC3" i="6"/>
  <c r="K32" i="11"/>
  <c r="C33" i="11"/>
  <c r="BC3" i="11"/>
  <c r="BC4" i="11"/>
  <c r="BC5" i="11"/>
  <c r="V4" i="13" l="1"/>
  <c r="Z4" i="6"/>
  <c r="V4" i="6"/>
  <c r="Z4" i="11"/>
  <c r="P33" i="12"/>
  <c r="P31" i="6"/>
  <c r="K34" i="12"/>
  <c r="K36" i="13"/>
  <c r="K32" i="6"/>
  <c r="Z15" i="6" l="1"/>
  <c r="Z14" i="6"/>
  <c r="V15" i="6"/>
  <c r="V14" i="6"/>
  <c r="V15" i="11"/>
  <c r="Z15" i="11" s="1"/>
  <c r="K35" i="12"/>
  <c r="C35" i="12"/>
  <c r="C34" i="12"/>
  <c r="K37" i="13"/>
  <c r="C37" i="13"/>
  <c r="C36" i="13"/>
  <c r="K33" i="6"/>
  <c r="C33" i="6"/>
  <c r="C32" i="6"/>
  <c r="K33" i="11"/>
  <c r="C32" i="11"/>
  <c r="I31" i="12"/>
  <c r="B31" i="12"/>
  <c r="I33" i="13"/>
  <c r="B33" i="13"/>
  <c r="I29" i="6"/>
  <c r="B29" i="6"/>
  <c r="I29" i="11"/>
  <c r="B29" i="11"/>
  <c r="B31" i="13" l="1"/>
  <c r="I28" i="13"/>
  <c r="K35" i="13"/>
  <c r="B28" i="13"/>
  <c r="AB12" i="13"/>
  <c r="AB17" i="13" s="1"/>
  <c r="I27" i="13"/>
  <c r="B27" i="13"/>
  <c r="B25" i="13"/>
  <c r="E22" i="13"/>
  <c r="C22" i="13"/>
  <c r="Y4" i="13" s="1"/>
  <c r="X21" i="13"/>
  <c r="AM3" i="13" s="1"/>
  <c r="W21" i="13"/>
  <c r="AB20" i="13"/>
  <c r="B20" i="13"/>
  <c r="AB11" i="13" s="1"/>
  <c r="B18" i="13"/>
  <c r="AB10" i="13" s="1"/>
  <c r="AB15" i="13" s="1"/>
  <c r="E17" i="13"/>
  <c r="P17" i="13" s="1"/>
  <c r="C17" i="13"/>
  <c r="N16" i="13"/>
  <c r="AC13" i="13" s="1"/>
  <c r="I16" i="13"/>
  <c r="AC8" i="13" s="1"/>
  <c r="B15" i="13"/>
  <c r="J10" i="13"/>
  <c r="V9" i="13"/>
  <c r="F9" i="13"/>
  <c r="F8" i="13"/>
  <c r="AO5" i="13"/>
  <c r="AK5" i="13"/>
  <c r="AC5" i="13"/>
  <c r="AD5" i="13" s="1"/>
  <c r="AF5" i="13" s="1"/>
  <c r="O29" i="13" s="1"/>
  <c r="AB5" i="13"/>
  <c r="AJ4" i="13"/>
  <c r="AI4" i="13"/>
  <c r="AB4" i="13"/>
  <c r="AN3" i="13"/>
  <c r="AL3" i="13"/>
  <c r="AJ3" i="13"/>
  <c r="AI3" i="13"/>
  <c r="AB3" i="13"/>
  <c r="G9" i="12"/>
  <c r="G10" i="12"/>
  <c r="G11" i="12"/>
  <c r="G8" i="12"/>
  <c r="W6" i="12"/>
  <c r="Y22" i="13" l="1"/>
  <c r="K17" i="13"/>
  <c r="AD9" i="13" s="1"/>
  <c r="AD14" i="13" s="1"/>
  <c r="I17" i="13"/>
  <c r="AC9" i="13" s="1"/>
  <c r="N17" i="13"/>
  <c r="H39" i="13"/>
  <c r="AO6" i="13"/>
  <c r="AO7" i="13" s="1"/>
  <c r="AO8" i="13" s="1"/>
  <c r="AO9" i="13" s="1"/>
  <c r="AO10" i="13" s="1"/>
  <c r="AO11" i="13" s="1"/>
  <c r="AO12" i="13" s="1"/>
  <c r="AO13" i="13" s="1"/>
  <c r="AO14" i="13" s="1"/>
  <c r="AO15" i="13" s="1"/>
  <c r="AO16" i="13" s="1"/>
  <c r="AO17" i="13" s="1"/>
  <c r="AO18" i="13" s="1"/>
  <c r="AO19" i="13" s="1"/>
  <c r="AO20" i="13" s="1"/>
  <c r="AO21" i="13" s="1"/>
  <c r="AO22" i="13" s="1"/>
  <c r="AO23" i="13" s="1"/>
  <c r="AO24" i="13" s="1"/>
  <c r="AO25" i="13" s="1"/>
  <c r="AO26" i="13" s="1"/>
  <c r="AO27" i="13" s="1"/>
  <c r="AO28" i="13" s="1"/>
  <c r="AO29" i="13" s="1"/>
  <c r="AO30" i="13" s="1"/>
  <c r="AO31" i="13" s="1"/>
  <c r="AO32" i="13" s="1"/>
  <c r="AO33" i="13" s="1"/>
  <c r="AO34" i="13" s="1"/>
  <c r="AO35" i="13" s="1"/>
  <c r="AO36" i="13" s="1"/>
  <c r="AO37" i="13" s="1"/>
  <c r="AO38" i="13" s="1"/>
  <c r="AO39" i="13" s="1"/>
  <c r="AO40" i="13" s="1"/>
  <c r="AO41" i="13" s="1"/>
  <c r="AO42" i="13" s="1"/>
  <c r="AO43" i="13" s="1"/>
  <c r="AO44" i="13" s="1"/>
  <c r="AO45" i="13" s="1"/>
  <c r="AO46" i="13" s="1"/>
  <c r="AO47" i="13" s="1"/>
  <c r="AO48" i="13" s="1"/>
  <c r="AO49" i="13" s="1"/>
  <c r="AO50" i="13" s="1"/>
  <c r="AO51" i="13" s="1"/>
  <c r="AO52" i="13" s="1"/>
  <c r="AO53" i="13" s="1"/>
  <c r="AO54" i="13" s="1"/>
  <c r="AO55" i="13" s="1"/>
  <c r="AO56" i="13" s="1"/>
  <c r="AO57" i="13" s="1"/>
  <c r="AO58" i="13" s="1"/>
  <c r="AO59" i="13" s="1"/>
  <c r="AO60" i="13" s="1"/>
  <c r="AO61" i="13" s="1"/>
  <c r="AO62" i="13" s="1"/>
  <c r="AO63" i="13" s="1"/>
  <c r="AO64" i="13" s="1"/>
  <c r="AO65" i="13" s="1"/>
  <c r="AO66" i="13" s="1"/>
  <c r="AO67" i="13" s="1"/>
  <c r="AO68" i="13" s="1"/>
  <c r="AO69" i="13" s="1"/>
  <c r="AO70" i="13" s="1"/>
  <c r="AO71" i="13" s="1"/>
  <c r="AO72" i="13" s="1"/>
  <c r="AO73" i="13" s="1"/>
  <c r="AO74" i="13" s="1"/>
  <c r="AO75" i="13" s="1"/>
  <c r="AO76" i="13" s="1"/>
  <c r="AO77" i="13" s="1"/>
  <c r="AO78" i="13" s="1"/>
  <c r="AO79" i="13" s="1"/>
  <c r="AO80" i="13" s="1"/>
  <c r="AO81" i="13" s="1"/>
  <c r="AO82" i="13" s="1"/>
  <c r="AO83" i="13" s="1"/>
  <c r="AO84" i="13" s="1"/>
  <c r="AO85" i="13" s="1"/>
  <c r="AO86" i="13" s="1"/>
  <c r="AO87" i="13" s="1"/>
  <c r="AO88" i="13" s="1"/>
  <c r="AO89" i="13" s="1"/>
  <c r="AO90" i="13" s="1"/>
  <c r="AO91" i="13" s="1"/>
  <c r="AO92" i="13" s="1"/>
  <c r="AO93" i="13" s="1"/>
  <c r="AO94" i="13" s="1"/>
  <c r="AO95" i="13" s="1"/>
  <c r="AO96" i="13" s="1"/>
  <c r="AO97" i="13" s="1"/>
  <c r="AO98" i="13" s="1"/>
  <c r="AO99" i="13" s="1"/>
  <c r="AO100" i="13" s="1"/>
  <c r="AO101" i="13" s="1"/>
  <c r="AO102" i="13" s="1"/>
  <c r="AO103" i="13" s="1"/>
  <c r="AO104" i="13" s="1"/>
  <c r="AB16" i="13"/>
  <c r="V10" i="13"/>
  <c r="V12" i="13" s="1"/>
  <c r="AC4" i="13" s="1"/>
  <c r="V11" i="13"/>
  <c r="AC3" i="13" s="1"/>
  <c r="AF3" i="13" s="1"/>
  <c r="AK6" i="13"/>
  <c r="C27" i="13"/>
  <c r="C35" i="13" s="1"/>
  <c r="B29" i="12"/>
  <c r="L27" i="12"/>
  <c r="H27" i="12"/>
  <c r="B27" i="12"/>
  <c r="L26" i="12"/>
  <c r="H26" i="12"/>
  <c r="B26" i="12"/>
  <c r="B24" i="12"/>
  <c r="E21" i="12"/>
  <c r="C21" i="12"/>
  <c r="B19" i="12"/>
  <c r="B17" i="12"/>
  <c r="E16" i="12"/>
  <c r="J16" i="12" s="1"/>
  <c r="O16" i="12" s="1"/>
  <c r="C16" i="12"/>
  <c r="H16" i="12" s="1"/>
  <c r="M16" i="12" s="1"/>
  <c r="B14" i="12"/>
  <c r="AB12" i="12"/>
  <c r="AO3" i="12" s="1"/>
  <c r="AS3" i="12" s="1"/>
  <c r="AA12" i="12"/>
  <c r="AN3" i="12" s="1"/>
  <c r="AR3" i="12" s="1"/>
  <c r="Z12" i="12"/>
  <c r="AM3" i="12" s="1"/>
  <c r="AQ3" i="12" s="1"/>
  <c r="Y12" i="12"/>
  <c r="AL3" i="12" s="1"/>
  <c r="AP3" i="12" s="1"/>
  <c r="X12" i="12"/>
  <c r="W12" i="12"/>
  <c r="B11" i="12"/>
  <c r="Y6" i="12" s="1"/>
  <c r="B10" i="12"/>
  <c r="Y5" i="12" s="1"/>
  <c r="B9" i="12"/>
  <c r="Y4" i="12" s="1"/>
  <c r="Y3" i="12"/>
  <c r="AB6" i="12"/>
  <c r="AA6" i="12"/>
  <c r="Z6" i="12"/>
  <c r="AK5" i="12"/>
  <c r="AB5" i="12"/>
  <c r="AA5" i="12"/>
  <c r="Z5" i="12"/>
  <c r="AB4" i="12"/>
  <c r="AA4" i="12"/>
  <c r="Z4" i="12"/>
  <c r="AC4" i="12" s="1"/>
  <c r="AB3" i="12"/>
  <c r="AA3" i="12"/>
  <c r="Z3" i="12"/>
  <c r="AC3" i="12" s="1"/>
  <c r="AB2" i="12"/>
  <c r="AA2" i="12"/>
  <c r="AC5" i="12" l="1"/>
  <c r="O17" i="12" s="1"/>
  <c r="AC6" i="12"/>
  <c r="O19" i="12" s="1"/>
  <c r="J19" i="12" s="1"/>
  <c r="AK7" i="13"/>
  <c r="AK8" i="13" s="1"/>
  <c r="AK9" i="13" s="1"/>
  <c r="AK10" i="13" s="1"/>
  <c r="AK11" i="13" s="1"/>
  <c r="AK12" i="13" s="1"/>
  <c r="AK13" i="13" s="1"/>
  <c r="AK14" i="13" s="1"/>
  <c r="AK15" i="13" s="1"/>
  <c r="AK16" i="13" s="1"/>
  <c r="AK17" i="13" s="1"/>
  <c r="AK18" i="13" s="1"/>
  <c r="AK19" i="13" s="1"/>
  <c r="AK20" i="13" s="1"/>
  <c r="AK21" i="13" s="1"/>
  <c r="AK22" i="13" s="1"/>
  <c r="AK23" i="13" s="1"/>
  <c r="AK24" i="13" s="1"/>
  <c r="AK25" i="13" s="1"/>
  <c r="AK26" i="13" s="1"/>
  <c r="AK27" i="13" s="1"/>
  <c r="AK28" i="13" s="1"/>
  <c r="AK29" i="13" s="1"/>
  <c r="AK30" i="13" s="1"/>
  <c r="AK31" i="13" s="1"/>
  <c r="AK32" i="13" s="1"/>
  <c r="AK33" i="13" s="1"/>
  <c r="AK34" i="13" s="1"/>
  <c r="AK35" i="13" s="1"/>
  <c r="AK36" i="13" s="1"/>
  <c r="AK37" i="13" s="1"/>
  <c r="AK38" i="13" s="1"/>
  <c r="AK39" i="13" s="1"/>
  <c r="AK40" i="13" s="1"/>
  <c r="AK41" i="13" s="1"/>
  <c r="AK42" i="13" s="1"/>
  <c r="AK43" i="13" s="1"/>
  <c r="AK44" i="13" s="1"/>
  <c r="AK45" i="13" s="1"/>
  <c r="AK46" i="13" s="1"/>
  <c r="AK47" i="13" s="1"/>
  <c r="AK48" i="13" s="1"/>
  <c r="AK49" i="13" s="1"/>
  <c r="AK50" i="13" s="1"/>
  <c r="AK51" i="13" s="1"/>
  <c r="AK52" i="13" s="1"/>
  <c r="AK53" i="13" s="1"/>
  <c r="O27" i="13"/>
  <c r="AC12" i="13" s="1"/>
  <c r="AC17" i="13" s="1"/>
  <c r="AD3" i="13"/>
  <c r="AF4" i="13"/>
  <c r="O28" i="13" s="1"/>
  <c r="AD12" i="13" s="1"/>
  <c r="AD17" i="13" s="1"/>
  <c r="AD4" i="13"/>
  <c r="AC14" i="13"/>
  <c r="M17" i="12"/>
  <c r="W5" i="12"/>
  <c r="C27" i="12" s="1"/>
  <c r="K33" i="12" s="1"/>
  <c r="Z13" i="12"/>
  <c r="AK6" i="12"/>
  <c r="AK7" i="12" s="1"/>
  <c r="AK8" i="12" s="1"/>
  <c r="AK9" i="12" s="1"/>
  <c r="AK10" i="12" s="1"/>
  <c r="AK11" i="12" s="1"/>
  <c r="AK12" i="12" s="1"/>
  <c r="AK13" i="12" s="1"/>
  <c r="AK14" i="12" s="1"/>
  <c r="AK15" i="12" s="1"/>
  <c r="AK16" i="12" s="1"/>
  <c r="AK17" i="12" s="1"/>
  <c r="AK18" i="12" s="1"/>
  <c r="AK19" i="12" s="1"/>
  <c r="AK20" i="12" s="1"/>
  <c r="AK21" i="12" s="1"/>
  <c r="AK22" i="12" s="1"/>
  <c r="AK23" i="12" s="1"/>
  <c r="AK24" i="12" s="1"/>
  <c r="AK25" i="12" s="1"/>
  <c r="AK26" i="12" s="1"/>
  <c r="AK27" i="12" s="1"/>
  <c r="AK28" i="12" s="1"/>
  <c r="AK29" i="12" s="1"/>
  <c r="AK30" i="12" s="1"/>
  <c r="AK31" i="12" s="1"/>
  <c r="AK32" i="12" s="1"/>
  <c r="AK33" i="12" s="1"/>
  <c r="AK34" i="12" s="1"/>
  <c r="AK35" i="12" s="1"/>
  <c r="AK36" i="12" s="1"/>
  <c r="AK37" i="12" s="1"/>
  <c r="AK38" i="12" s="1"/>
  <c r="AK39" i="12" s="1"/>
  <c r="AK40" i="12" s="1"/>
  <c r="AK41" i="12" s="1"/>
  <c r="AK42" i="12" s="1"/>
  <c r="AK43" i="12" s="1"/>
  <c r="AK44" i="12" s="1"/>
  <c r="AK45" i="12" s="1"/>
  <c r="AK46" i="12" s="1"/>
  <c r="AK47" i="12" s="1"/>
  <c r="AK48" i="12" s="1"/>
  <c r="AK49" i="12" s="1"/>
  <c r="AK50" i="12" s="1"/>
  <c r="AK51" i="12" s="1"/>
  <c r="AK52" i="12" s="1"/>
  <c r="AK53" i="12" s="1"/>
  <c r="G9" i="6"/>
  <c r="G10" i="6"/>
  <c r="G11" i="6"/>
  <c r="G8" i="6"/>
  <c r="G9" i="11"/>
  <c r="G10" i="11"/>
  <c r="G11" i="11"/>
  <c r="G8" i="11"/>
  <c r="X22" i="13" l="1"/>
  <c r="AB13" i="12"/>
  <c r="R27" i="12"/>
  <c r="W22" i="13"/>
  <c r="Y13" i="12"/>
  <c r="C26" i="12"/>
  <c r="C33" i="12" s="1"/>
  <c r="J17" i="12"/>
  <c r="R26" i="12"/>
  <c r="O27" i="12"/>
  <c r="AA13" i="12"/>
  <c r="M19" i="12"/>
  <c r="H19" i="12" s="1"/>
  <c r="AN4" i="12" a="1"/>
  <c r="AN43" i="12" s="1"/>
  <c r="O26" i="12"/>
  <c r="AM4" i="12" a="1"/>
  <c r="AO4" i="12" a="1"/>
  <c r="AL4" i="12" a="1"/>
  <c r="H17" i="12"/>
  <c r="Z9" i="6"/>
  <c r="V9" i="6"/>
  <c r="AD10" i="13" l="1"/>
  <c r="AC10" i="13"/>
  <c r="V14" i="13"/>
  <c r="AL4" i="13" a="1"/>
  <c r="AL38" i="13" s="1"/>
  <c r="O28" i="12"/>
  <c r="O21" i="12"/>
  <c r="J21" i="12" s="1"/>
  <c r="AN6" i="12"/>
  <c r="AN18" i="12"/>
  <c r="AN16" i="12"/>
  <c r="AN28" i="12"/>
  <c r="AN47" i="12"/>
  <c r="AN46" i="12"/>
  <c r="AN31" i="12"/>
  <c r="AN4" i="12"/>
  <c r="AN37" i="12"/>
  <c r="AN49" i="12"/>
  <c r="AN25" i="12"/>
  <c r="AN13" i="12"/>
  <c r="AN15" i="12"/>
  <c r="J27" i="12"/>
  <c r="W4" i="12" s="1"/>
  <c r="V13" i="12" s="1"/>
  <c r="M21" i="12"/>
  <c r="AN29" i="12"/>
  <c r="AN9" i="12"/>
  <c r="AN30" i="12"/>
  <c r="AN52" i="12"/>
  <c r="AN21" i="12"/>
  <c r="AN42" i="12"/>
  <c r="AN24" i="12"/>
  <c r="AN12" i="12"/>
  <c r="AN33" i="12"/>
  <c r="AN54" i="12"/>
  <c r="AN19" i="12"/>
  <c r="AN35" i="12"/>
  <c r="AN51" i="12"/>
  <c r="AN34" i="12"/>
  <c r="AN14" i="12"/>
  <c r="AN36" i="12"/>
  <c r="AN5" i="12"/>
  <c r="AN26" i="12"/>
  <c r="AN48" i="12"/>
  <c r="AN40" i="12"/>
  <c r="AN17" i="12"/>
  <c r="AN38" i="12"/>
  <c r="AN7" i="12"/>
  <c r="AN23" i="12"/>
  <c r="AN39" i="12"/>
  <c r="AN8" i="12"/>
  <c r="AN45" i="12"/>
  <c r="AN20" i="12"/>
  <c r="AN41" i="12"/>
  <c r="AN10" i="12"/>
  <c r="AN32" i="12"/>
  <c r="AN53" i="12"/>
  <c r="AN50" i="12"/>
  <c r="AN22" i="12"/>
  <c r="AN44" i="12"/>
  <c r="AN11" i="12"/>
  <c r="AN27" i="12"/>
  <c r="W9" i="12"/>
  <c r="AM51" i="12"/>
  <c r="AM47" i="12"/>
  <c r="AM43" i="12"/>
  <c r="AM39" i="12"/>
  <c r="AM35" i="12"/>
  <c r="AM53" i="12"/>
  <c r="AM48" i="12"/>
  <c r="AM42" i="12"/>
  <c r="AM37" i="12"/>
  <c r="AM32" i="12"/>
  <c r="AM28" i="12"/>
  <c r="AM24" i="12"/>
  <c r="AM20" i="12"/>
  <c r="AM16" i="12"/>
  <c r="AM12" i="12"/>
  <c r="AM8" i="12"/>
  <c r="AM4" i="12"/>
  <c r="AM54" i="12"/>
  <c r="AM44" i="12"/>
  <c r="AM33" i="12"/>
  <c r="AM25" i="12"/>
  <c r="AM17" i="12"/>
  <c r="AM9" i="12"/>
  <c r="AM52" i="12"/>
  <c r="AM46" i="12"/>
  <c r="AM41" i="12"/>
  <c r="AM36" i="12"/>
  <c r="AM31" i="12"/>
  <c r="AM27" i="12"/>
  <c r="AM23" i="12"/>
  <c r="AM19" i="12"/>
  <c r="AM15" i="12"/>
  <c r="AM11" i="12"/>
  <c r="AM7" i="12"/>
  <c r="AM50" i="12"/>
  <c r="AM45" i="12"/>
  <c r="AM40" i="12"/>
  <c r="AM34" i="12"/>
  <c r="AM30" i="12"/>
  <c r="AM26" i="12"/>
  <c r="AM22" i="12"/>
  <c r="AM18" i="12"/>
  <c r="AM14" i="12"/>
  <c r="AM10" i="12"/>
  <c r="AM6" i="12"/>
  <c r="AM49" i="12"/>
  <c r="AM38" i="12"/>
  <c r="AM29" i="12"/>
  <c r="AM21" i="12"/>
  <c r="AM13" i="12"/>
  <c r="AM5" i="12"/>
  <c r="AO51" i="12"/>
  <c r="AO47" i="12"/>
  <c r="AO43" i="12"/>
  <c r="AO39" i="12"/>
  <c r="AO35" i="12"/>
  <c r="AO31" i="12"/>
  <c r="AO27" i="12"/>
  <c r="AO23" i="12"/>
  <c r="AO19" i="12"/>
  <c r="AO52" i="12"/>
  <c r="AO46" i="12"/>
  <c r="AO41" i="12"/>
  <c r="AO36" i="12"/>
  <c r="AO30" i="12"/>
  <c r="AO25" i="12"/>
  <c r="AO20" i="12"/>
  <c r="AO15" i="12"/>
  <c r="AO11" i="12"/>
  <c r="AO7" i="12"/>
  <c r="AO54" i="12"/>
  <c r="AO48" i="12"/>
  <c r="AO40" i="12"/>
  <c r="AO33" i="12"/>
  <c r="AO26" i="12"/>
  <c r="AO18" i="12"/>
  <c r="AO13" i="12"/>
  <c r="AO8" i="12"/>
  <c r="AO49" i="12"/>
  <c r="AO34" i="12"/>
  <c r="AO21" i="12"/>
  <c r="AO9" i="12"/>
  <c r="AO53" i="12"/>
  <c r="AO45" i="12"/>
  <c r="AO38" i="12"/>
  <c r="AO32" i="12"/>
  <c r="AO24" i="12"/>
  <c r="AO17" i="12"/>
  <c r="AO12" i="12"/>
  <c r="AO6" i="12"/>
  <c r="AO50" i="12"/>
  <c r="AO44" i="12"/>
  <c r="AO37" i="12"/>
  <c r="AO29" i="12"/>
  <c r="AO22" i="12"/>
  <c r="AO16" i="12"/>
  <c r="AO10" i="12"/>
  <c r="AO5" i="12"/>
  <c r="AO42" i="12"/>
  <c r="AO28" i="12"/>
  <c r="AO14" i="12"/>
  <c r="AO4" i="12"/>
  <c r="AL52" i="12"/>
  <c r="AL48" i="12"/>
  <c r="AL44" i="12"/>
  <c r="AL40" i="12"/>
  <c r="AL36" i="12"/>
  <c r="AL32" i="12"/>
  <c r="AL28" i="12"/>
  <c r="AL24" i="12"/>
  <c r="AL20" i="12"/>
  <c r="AL16" i="12"/>
  <c r="AL12" i="12"/>
  <c r="AL8" i="12"/>
  <c r="AL4" i="12"/>
  <c r="AL53" i="12"/>
  <c r="AL45" i="12"/>
  <c r="AL37" i="12"/>
  <c r="AL51" i="12"/>
  <c r="AL47" i="12"/>
  <c r="AL43" i="12"/>
  <c r="AL39" i="12"/>
  <c r="AL35" i="12"/>
  <c r="AL31" i="12"/>
  <c r="AL27" i="12"/>
  <c r="AL23" i="12"/>
  <c r="AL19" i="12"/>
  <c r="AL15" i="12"/>
  <c r="AL11" i="12"/>
  <c r="AL7" i="12"/>
  <c r="AL54" i="12"/>
  <c r="AL50" i="12"/>
  <c r="AL46" i="12"/>
  <c r="AL42" i="12"/>
  <c r="AL38" i="12"/>
  <c r="AL34" i="12"/>
  <c r="AL30" i="12"/>
  <c r="AL26" i="12"/>
  <c r="AL22" i="12"/>
  <c r="AL18" i="12"/>
  <c r="AL14" i="12"/>
  <c r="AL10" i="12"/>
  <c r="AL6" i="12"/>
  <c r="AL49" i="12"/>
  <c r="AL41" i="12"/>
  <c r="AL33" i="12"/>
  <c r="AL17" i="12"/>
  <c r="AL29" i="12"/>
  <c r="AL13" i="12"/>
  <c r="AL25" i="12"/>
  <c r="AL9" i="12"/>
  <c r="AL21" i="12"/>
  <c r="AL5" i="12"/>
  <c r="Z10" i="6"/>
  <c r="Z12" i="6" s="1"/>
  <c r="AC6" i="6" s="1"/>
  <c r="V10" i="6"/>
  <c r="V11" i="6"/>
  <c r="AC3" i="6" s="1"/>
  <c r="Z11" i="6"/>
  <c r="AC5" i="6" s="1"/>
  <c r="Z9" i="11"/>
  <c r="V9" i="11"/>
  <c r="V12" i="6" l="1"/>
  <c r="AC4" i="6" s="1"/>
  <c r="AD11" i="13"/>
  <c r="AD16" i="13" s="1"/>
  <c r="AD15" i="13"/>
  <c r="AC11" i="13"/>
  <c r="AC15" i="13"/>
  <c r="I18" i="13"/>
  <c r="K18" i="13"/>
  <c r="P18" i="13" s="1"/>
  <c r="AL49" i="13"/>
  <c r="AL19" i="13"/>
  <c r="AL30" i="13"/>
  <c r="AL31" i="13"/>
  <c r="AL17" i="13"/>
  <c r="AL20" i="13"/>
  <c r="AL43" i="13"/>
  <c r="AL16" i="13"/>
  <c r="AL44" i="13"/>
  <c r="AL29" i="13"/>
  <c r="AL10" i="13"/>
  <c r="AL42" i="13"/>
  <c r="AL8" i="13"/>
  <c r="AL51" i="13"/>
  <c r="AL32" i="13"/>
  <c r="AL52" i="13"/>
  <c r="AL33" i="13"/>
  <c r="AL14" i="13"/>
  <c r="AL46" i="13"/>
  <c r="AL11" i="13"/>
  <c r="AL23" i="13"/>
  <c r="AL12" i="13"/>
  <c r="AL13" i="13"/>
  <c r="AL45" i="13"/>
  <c r="AL26" i="13"/>
  <c r="AL24" i="13"/>
  <c r="AL27" i="13"/>
  <c r="AL7" i="13"/>
  <c r="AL39" i="13"/>
  <c r="AL48" i="13"/>
  <c r="AL28" i="13"/>
  <c r="AL5" i="13"/>
  <c r="AL21" i="13"/>
  <c r="AL37" i="13"/>
  <c r="AL53" i="13"/>
  <c r="AL18" i="13"/>
  <c r="AL34" i="13"/>
  <c r="AL50" i="13"/>
  <c r="AL40" i="13"/>
  <c r="AL35" i="13"/>
  <c r="AL15" i="13"/>
  <c r="AL47" i="13"/>
  <c r="AL4" i="13"/>
  <c r="AL36" i="13"/>
  <c r="AL9" i="13"/>
  <c r="AL25" i="13"/>
  <c r="AL41" i="13"/>
  <c r="AL6" i="13"/>
  <c r="AL22" i="13"/>
  <c r="V10" i="11"/>
  <c r="V12" i="11" s="1"/>
  <c r="AC4" i="11" s="1"/>
  <c r="V11" i="11"/>
  <c r="AC3" i="11" s="1"/>
  <c r="M23" i="12"/>
  <c r="AN55" i="12"/>
  <c r="AR51" i="12" s="1"/>
  <c r="H21" i="12"/>
  <c r="H23" i="12" s="1"/>
  <c r="W8" i="12"/>
  <c r="X13" i="12" s="1"/>
  <c r="J26" i="12"/>
  <c r="W3" i="12" s="1"/>
  <c r="AO55" i="12"/>
  <c r="AS22" i="12" s="1"/>
  <c r="AL55" i="12"/>
  <c r="AP6" i="12" s="1"/>
  <c r="AM55" i="12"/>
  <c r="AQ26" i="12" s="1"/>
  <c r="Z10" i="11"/>
  <c r="Z12" i="11" s="1"/>
  <c r="AC6" i="11" s="1"/>
  <c r="Z11" i="11"/>
  <c r="AC5" i="11" s="1"/>
  <c r="AC22" i="13" l="1"/>
  <c r="AC20" i="13"/>
  <c r="K20" i="13"/>
  <c r="I20" i="13"/>
  <c r="N20" i="13" s="1"/>
  <c r="AC16" i="13"/>
  <c r="AC21" i="13" s="1"/>
  <c r="Y5" i="13"/>
  <c r="U13" i="12"/>
  <c r="N18" i="13"/>
  <c r="AC37" i="13"/>
  <c r="AR30" i="12"/>
  <c r="AR29" i="12"/>
  <c r="AR20" i="12"/>
  <c r="AR5" i="12"/>
  <c r="AR4" i="12"/>
  <c r="AR50" i="12"/>
  <c r="AR23" i="12"/>
  <c r="AR33" i="12"/>
  <c r="AP15" i="12"/>
  <c r="AS21" i="12"/>
  <c r="AR47" i="12"/>
  <c r="AR17" i="12"/>
  <c r="AR8" i="12"/>
  <c r="AS30" i="12"/>
  <c r="AR43" i="12"/>
  <c r="AQ7" i="12"/>
  <c r="AS47" i="12"/>
  <c r="AP7" i="12"/>
  <c r="AR21" i="12"/>
  <c r="AR44" i="12"/>
  <c r="AR31" i="12"/>
  <c r="AR24" i="12"/>
  <c r="AR32" i="12"/>
  <c r="AS10" i="12"/>
  <c r="AS38" i="12"/>
  <c r="AR27" i="12"/>
  <c r="AR38" i="12"/>
  <c r="AR48" i="12"/>
  <c r="AR14" i="12"/>
  <c r="AQ16" i="12"/>
  <c r="AQ54" i="12"/>
  <c r="AR15" i="12"/>
  <c r="AR25" i="12"/>
  <c r="AR53" i="12"/>
  <c r="AR12" i="12"/>
  <c r="AR16" i="12"/>
  <c r="AR39" i="12"/>
  <c r="AR34" i="12"/>
  <c r="AR10" i="12"/>
  <c r="AR42" i="12"/>
  <c r="AR45" i="12"/>
  <c r="AR9" i="12"/>
  <c r="AR37" i="12"/>
  <c r="AR49" i="12"/>
  <c r="AR7" i="12"/>
  <c r="AR13" i="12"/>
  <c r="AR46" i="12"/>
  <c r="AR40" i="12"/>
  <c r="AR11" i="12"/>
  <c r="AR35" i="12"/>
  <c r="AR28" i="12"/>
  <c r="AR41" i="12"/>
  <c r="AR52" i="12"/>
  <c r="AR26" i="12"/>
  <c r="AR22" i="12"/>
  <c r="AR54" i="12"/>
  <c r="AR19" i="12"/>
  <c r="AR18" i="12"/>
  <c r="AR6" i="12"/>
  <c r="AR36" i="12"/>
  <c r="W7" i="12"/>
  <c r="W13" i="12" s="1"/>
  <c r="AP31" i="12"/>
  <c r="AP23" i="12"/>
  <c r="AS34" i="12"/>
  <c r="AS6" i="12"/>
  <c r="AP49" i="12"/>
  <c r="AP4" i="12"/>
  <c r="AS27" i="12"/>
  <c r="AQ34" i="12"/>
  <c r="AS11" i="12"/>
  <c r="AS14" i="12"/>
  <c r="AP32" i="12"/>
  <c r="AP29" i="12"/>
  <c r="AQ25" i="12"/>
  <c r="AQ38" i="12"/>
  <c r="AS33" i="12"/>
  <c r="AQ47" i="12"/>
  <c r="AQ17" i="12"/>
  <c r="AQ49" i="12"/>
  <c r="AS31" i="12"/>
  <c r="AS40" i="12"/>
  <c r="AS12" i="12"/>
  <c r="AP16" i="12"/>
  <c r="AP50" i="12"/>
  <c r="AP24" i="12"/>
  <c r="AP33" i="12"/>
  <c r="AS35" i="12"/>
  <c r="AS17" i="12"/>
  <c r="AP9" i="12"/>
  <c r="AS46" i="12"/>
  <c r="AS8" i="12"/>
  <c r="AS29" i="12"/>
  <c r="AS44" i="12"/>
  <c r="AS19" i="12"/>
  <c r="AQ53" i="12"/>
  <c r="AQ23" i="12"/>
  <c r="AQ13" i="12"/>
  <c r="AS52" i="12"/>
  <c r="AS13" i="12"/>
  <c r="AS37" i="12"/>
  <c r="AP53" i="12"/>
  <c r="AP18" i="12"/>
  <c r="AP8" i="12"/>
  <c r="AQ35" i="12"/>
  <c r="AS36" i="12"/>
  <c r="AS16" i="12"/>
  <c r="AQ12" i="12"/>
  <c r="AS25" i="12"/>
  <c r="AS9" i="12"/>
  <c r="AS5" i="12"/>
  <c r="AS48" i="12"/>
  <c r="AQ19" i="12"/>
  <c r="AS43" i="12"/>
  <c r="AS7" i="12"/>
  <c r="AS32" i="12"/>
  <c r="AS4" i="12"/>
  <c r="AQ6" i="12"/>
  <c r="AP22" i="12"/>
  <c r="AQ28" i="12"/>
  <c r="AQ36" i="12"/>
  <c r="AQ14" i="12"/>
  <c r="AP12" i="12"/>
  <c r="AP11" i="12"/>
  <c r="AP41" i="12"/>
  <c r="AP25" i="12"/>
  <c r="AQ11" i="12"/>
  <c r="AP35" i="12"/>
  <c r="AP17" i="12"/>
  <c r="AQ24" i="12"/>
  <c r="AQ31" i="12"/>
  <c r="AQ10" i="12"/>
  <c r="AS20" i="12"/>
  <c r="AS53" i="12"/>
  <c r="AS42" i="12"/>
  <c r="AP45" i="12"/>
  <c r="AP46" i="12"/>
  <c r="AP13" i="12"/>
  <c r="AQ51" i="12"/>
  <c r="AQ22" i="12"/>
  <c r="AS15" i="12"/>
  <c r="AS28" i="12"/>
  <c r="AP19" i="12"/>
  <c r="AQ8" i="12"/>
  <c r="AQ15" i="12"/>
  <c r="AQ29" i="12"/>
  <c r="AS39" i="12"/>
  <c r="AS54" i="12"/>
  <c r="AS24" i="12"/>
  <c r="AQ32" i="12"/>
  <c r="AQ41" i="12"/>
  <c r="AQ18" i="12"/>
  <c r="AP48" i="12"/>
  <c r="AP47" i="12"/>
  <c r="AP34" i="12"/>
  <c r="AP21" i="12"/>
  <c r="AP37" i="12"/>
  <c r="AP42" i="12"/>
  <c r="AQ37" i="12"/>
  <c r="AQ27" i="12"/>
  <c r="AP51" i="12"/>
  <c r="AQ43" i="12"/>
  <c r="AQ44" i="12"/>
  <c r="AQ50" i="12"/>
  <c r="AQ5" i="12"/>
  <c r="AP44" i="12"/>
  <c r="AP43" i="12"/>
  <c r="AP30" i="12"/>
  <c r="AP5" i="12"/>
  <c r="AQ20" i="12"/>
  <c r="AQ21" i="12"/>
  <c r="AS18" i="12"/>
  <c r="AP52" i="12"/>
  <c r="AP38" i="12"/>
  <c r="AQ39" i="12"/>
  <c r="AQ33" i="12"/>
  <c r="AQ45" i="12"/>
  <c r="AS23" i="12"/>
  <c r="AS26" i="12"/>
  <c r="AS50" i="12"/>
  <c r="AP40" i="12"/>
  <c r="AP39" i="12"/>
  <c r="AP10" i="12"/>
  <c r="AQ4" i="12"/>
  <c r="AQ40" i="12"/>
  <c r="AP36" i="12"/>
  <c r="AP54" i="12"/>
  <c r="AQ48" i="12"/>
  <c r="AQ9" i="12"/>
  <c r="AQ30" i="12"/>
  <c r="AP28" i="12"/>
  <c r="AP27" i="12"/>
  <c r="AP14" i="12"/>
  <c r="AP26" i="12"/>
  <c r="AQ46" i="12"/>
  <c r="AS51" i="12"/>
  <c r="AS45" i="12"/>
  <c r="AP20" i="12"/>
  <c r="AQ42" i="12"/>
  <c r="AQ52" i="12"/>
  <c r="AS41" i="12"/>
  <c r="AS49" i="12"/>
  <c r="AC23" i="13" l="1"/>
  <c r="V7" i="13"/>
  <c r="V5" i="13"/>
  <c r="N22" i="13"/>
  <c r="I22" i="13"/>
  <c r="E22" i="6"/>
  <c r="AK4" i="6" l="1"/>
  <c r="AK5" i="6"/>
  <c r="AK6" i="6"/>
  <c r="AK3" i="6"/>
  <c r="AJ4" i="6"/>
  <c r="AJ5" i="6"/>
  <c r="AJ6" i="6"/>
  <c r="AJ3" i="6"/>
  <c r="AD4" i="11"/>
  <c r="AE4" i="11"/>
  <c r="AD5" i="11"/>
  <c r="AE5" i="11"/>
  <c r="AD6" i="11"/>
  <c r="AE6" i="11"/>
  <c r="AE3" i="11"/>
  <c r="AD3" i="11"/>
  <c r="V21" i="6"/>
  <c r="L35" i="11"/>
  <c r="I27" i="11"/>
  <c r="B27" i="11"/>
  <c r="I26" i="11"/>
  <c r="B26" i="11"/>
  <c r="I22" i="11"/>
  <c r="E22" i="11"/>
  <c r="C22" i="11"/>
  <c r="V21" i="11"/>
  <c r="U21" i="11"/>
  <c r="G20" i="11"/>
  <c r="B20" i="11"/>
  <c r="I20" i="11" s="1"/>
  <c r="G18" i="11"/>
  <c r="V14" i="11" s="1"/>
  <c r="Z14" i="11" s="1"/>
  <c r="B18" i="11"/>
  <c r="I18" i="11" s="1"/>
  <c r="N17" i="11"/>
  <c r="E17" i="11"/>
  <c r="L17" i="11" s="1"/>
  <c r="C17" i="11"/>
  <c r="J17" i="11" s="1"/>
  <c r="B15" i="11"/>
  <c r="B11" i="11"/>
  <c r="AB6" i="11" s="1"/>
  <c r="B10" i="11"/>
  <c r="AB5" i="11" s="1"/>
  <c r="B9" i="11"/>
  <c r="AB4" i="11" s="1"/>
  <c r="B8" i="11"/>
  <c r="AB3" i="11" s="1"/>
  <c r="AI5" i="1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M3" i="11"/>
  <c r="AQ3" i="11" s="1"/>
  <c r="AL3" i="11"/>
  <c r="AP3" i="11" s="1"/>
  <c r="AK3" i="11"/>
  <c r="AO3" i="11" s="1"/>
  <c r="AJ3" i="11"/>
  <c r="AN3" i="11" s="1"/>
  <c r="C22" i="6"/>
  <c r="AL4" i="10"/>
  <c r="AL5" i="10"/>
  <c r="B11" i="6"/>
  <c r="AB6" i="6" s="1"/>
  <c r="B10" i="6"/>
  <c r="AB5" i="6" s="1"/>
  <c r="B9" i="6"/>
  <c r="AB4" i="6" s="1"/>
  <c r="B8" i="6"/>
  <c r="AB3" i="6" s="1"/>
  <c r="U21" i="6"/>
  <c r="AM3" i="6"/>
  <c r="AN3" i="6"/>
  <c r="AO3" i="6"/>
  <c r="AP3" i="6"/>
  <c r="AL5" i="6"/>
  <c r="AL6" i="6" s="1"/>
  <c r="AL7" i="6" s="1"/>
  <c r="AL8" i="6" s="1"/>
  <c r="AL9" i="6" s="1"/>
  <c r="AL10" i="6" s="1"/>
  <c r="AL11" i="6" s="1"/>
  <c r="AL12" i="6" s="1"/>
  <c r="AL13" i="6" s="1"/>
  <c r="AL14" i="6" s="1"/>
  <c r="AL15" i="6" s="1"/>
  <c r="AL16" i="6" s="1"/>
  <c r="AL17" i="6" s="1"/>
  <c r="AL18" i="6" s="1"/>
  <c r="AL19" i="6" s="1"/>
  <c r="AL20" i="6" s="1"/>
  <c r="AL21" i="6" s="1"/>
  <c r="AL22" i="6" s="1"/>
  <c r="AL23" i="6" s="1"/>
  <c r="AL24" i="6" s="1"/>
  <c r="AL25" i="6" s="1"/>
  <c r="AL26" i="6" s="1"/>
  <c r="AL27" i="6" s="1"/>
  <c r="AL28" i="6" s="1"/>
  <c r="AL29" i="6" s="1"/>
  <c r="AL30" i="6" s="1"/>
  <c r="AL31" i="6" s="1"/>
  <c r="AL32" i="6" s="1"/>
  <c r="AL33" i="6" s="1"/>
  <c r="AL34" i="6" s="1"/>
  <c r="AL35" i="6" s="1"/>
  <c r="AL36" i="6" s="1"/>
  <c r="AL37" i="6" s="1"/>
  <c r="AL38" i="6" s="1"/>
  <c r="AL39" i="6" s="1"/>
  <c r="AL40" i="6" s="1"/>
  <c r="AL41" i="6" s="1"/>
  <c r="AL42" i="6" s="1"/>
  <c r="AL43" i="6" s="1"/>
  <c r="AL44" i="6" s="1"/>
  <c r="AL45" i="6" s="1"/>
  <c r="AL46" i="6" s="1"/>
  <c r="AL47" i="6" s="1"/>
  <c r="AL48" i="6" s="1"/>
  <c r="AL49" i="6" s="1"/>
  <c r="AL50" i="6" s="1"/>
  <c r="AL51" i="6" s="1"/>
  <c r="AL52" i="6" s="1"/>
  <c r="AL53" i="6" s="1"/>
  <c r="B15" i="6"/>
  <c r="C17" i="6"/>
  <c r="J17" i="6"/>
  <c r="E17" i="6"/>
  <c r="L17" i="6" s="1"/>
  <c r="N17" i="6"/>
  <c r="B18" i="6"/>
  <c r="I18" i="6" s="1"/>
  <c r="G18" i="6"/>
  <c r="B20" i="6"/>
  <c r="I20" i="6" s="1"/>
  <c r="G20" i="6"/>
  <c r="I22" i="6"/>
  <c r="B26" i="6"/>
  <c r="I26" i="6"/>
  <c r="B27" i="6"/>
  <c r="I27" i="6"/>
  <c r="L35" i="6"/>
  <c r="V4" i="11" l="1"/>
  <c r="AF3" i="11"/>
  <c r="AG3" i="11" s="1"/>
  <c r="AF5" i="11"/>
  <c r="N18" i="11"/>
  <c r="N20" i="11"/>
  <c r="AF4" i="11"/>
  <c r="AG6" i="6"/>
  <c r="AD6" i="6" s="1"/>
  <c r="AH6" i="6" s="1"/>
  <c r="AG4" i="6"/>
  <c r="AD4" i="6" s="1"/>
  <c r="AH4" i="6" s="1"/>
  <c r="AG3" i="6"/>
  <c r="AD3" i="6" s="1"/>
  <c r="AH3" i="6" s="1"/>
  <c r="AF6" i="11"/>
  <c r="AG5" i="6"/>
  <c r="AD5" i="6" s="1"/>
  <c r="E26" i="11" l="1"/>
  <c r="C31" i="11" s="1"/>
  <c r="AG4" i="11"/>
  <c r="AG5" i="11"/>
  <c r="AG6" i="11"/>
  <c r="P18" i="11"/>
  <c r="Z22" i="6"/>
  <c r="AH5" i="6"/>
  <c r="P20" i="6" s="1"/>
  <c r="P21" i="6"/>
  <c r="P18" i="6"/>
  <c r="W22" i="6"/>
  <c r="P19" i="6"/>
  <c r="X22" i="6"/>
  <c r="AN4" i="6" s="1" a="1"/>
  <c r="AF20" i="11" l="1"/>
  <c r="AF21" i="11"/>
  <c r="AF18" i="11"/>
  <c r="AF19" i="11"/>
  <c r="AJ19" i="6"/>
  <c r="AJ18" i="6"/>
  <c r="P20" i="11"/>
  <c r="W22" i="11"/>
  <c r="AJ4" i="11" s="1" a="1"/>
  <c r="AJ15" i="11" s="1"/>
  <c r="M28" i="11"/>
  <c r="P19" i="11"/>
  <c r="V17" i="6"/>
  <c r="AM4" i="6" a="1"/>
  <c r="AM38" i="6" s="1"/>
  <c r="Y22" i="6"/>
  <c r="Z17" i="6" s="1"/>
  <c r="AN24" i="6"/>
  <c r="AN43" i="6"/>
  <c r="AN19" i="6"/>
  <c r="AN4" i="6"/>
  <c r="AN39" i="6"/>
  <c r="AN47" i="6"/>
  <c r="AN16" i="6"/>
  <c r="AN28" i="6"/>
  <c r="AN22" i="6"/>
  <c r="AN23" i="6"/>
  <c r="AN18" i="6"/>
  <c r="AN27" i="6"/>
  <c r="AN31" i="6"/>
  <c r="AN37" i="6"/>
  <c r="AN53" i="6"/>
  <c r="AN35" i="6"/>
  <c r="AN11" i="6"/>
  <c r="AN34" i="6"/>
  <c r="AN21" i="6"/>
  <c r="AN46" i="6"/>
  <c r="AN44" i="6"/>
  <c r="AN45" i="6"/>
  <c r="AN40" i="6"/>
  <c r="AN6" i="6"/>
  <c r="AN48" i="6"/>
  <c r="AN14" i="6"/>
  <c r="AN12" i="6"/>
  <c r="AN8" i="6"/>
  <c r="AN49" i="6"/>
  <c r="AN36" i="6"/>
  <c r="AN9" i="6"/>
  <c r="AN50" i="6"/>
  <c r="AN52" i="6"/>
  <c r="AN20" i="6"/>
  <c r="AN32" i="6"/>
  <c r="AN51" i="6"/>
  <c r="AN10" i="6"/>
  <c r="AN7" i="6"/>
  <c r="AN17" i="6"/>
  <c r="AN33" i="6"/>
  <c r="AN13" i="6"/>
  <c r="AN41" i="6"/>
  <c r="AN42" i="6"/>
  <c r="AN15" i="6"/>
  <c r="AN30" i="6"/>
  <c r="AN25" i="6"/>
  <c r="AN29" i="6"/>
  <c r="AN38" i="6"/>
  <c r="AN5" i="6"/>
  <c r="AN26" i="6"/>
  <c r="AF12" i="11" l="1"/>
  <c r="AF24" i="11"/>
  <c r="AF11" i="11"/>
  <c r="AF13" i="11" s="1"/>
  <c r="AF23" i="11"/>
  <c r="S22" i="11" s="1"/>
  <c r="AJ20" i="6"/>
  <c r="AJ11" i="6" s="1"/>
  <c r="AJ21" i="6"/>
  <c r="O28" i="11"/>
  <c r="X22" i="11"/>
  <c r="AK4" i="11" s="1" a="1"/>
  <c r="AK26" i="11" s="1"/>
  <c r="V7" i="11"/>
  <c r="P21" i="11"/>
  <c r="Y22" i="11"/>
  <c r="AL4" i="11" s="1" a="1"/>
  <c r="AL44" i="11" s="1"/>
  <c r="N28" i="11"/>
  <c r="V17" i="11"/>
  <c r="AM27" i="6"/>
  <c r="AM9" i="6"/>
  <c r="AM40" i="6"/>
  <c r="AM5" i="6"/>
  <c r="AM15" i="6"/>
  <c r="AM35" i="6"/>
  <c r="AM11" i="6"/>
  <c r="AM18" i="6"/>
  <c r="AM17" i="6"/>
  <c r="AM46" i="6"/>
  <c r="AM8" i="6"/>
  <c r="AM34" i="6"/>
  <c r="AM49" i="6"/>
  <c r="AM33" i="6"/>
  <c r="AM48" i="6"/>
  <c r="AM42" i="6"/>
  <c r="AM12" i="6"/>
  <c r="AM14" i="6"/>
  <c r="AM24" i="6"/>
  <c r="AM30" i="6"/>
  <c r="AM13" i="6"/>
  <c r="AM19" i="6"/>
  <c r="AM29" i="6"/>
  <c r="AM39" i="6"/>
  <c r="AM28" i="6"/>
  <c r="AM25" i="6"/>
  <c r="AM31" i="6"/>
  <c r="AM7" i="6"/>
  <c r="AM50" i="6"/>
  <c r="AM16" i="6"/>
  <c r="AM37" i="6"/>
  <c r="AM43" i="6"/>
  <c r="AM47" i="6"/>
  <c r="AM41" i="6"/>
  <c r="AM6" i="6"/>
  <c r="AM53" i="6"/>
  <c r="AM36" i="6"/>
  <c r="AM32" i="6"/>
  <c r="AM21" i="6"/>
  <c r="AM23" i="6"/>
  <c r="AM22" i="6"/>
  <c r="AM45" i="6"/>
  <c r="AM10" i="6"/>
  <c r="AM44" i="6"/>
  <c r="AM4" i="6"/>
  <c r="AM26" i="6"/>
  <c r="AM52" i="6"/>
  <c r="AM51" i="6"/>
  <c r="AM20" i="6"/>
  <c r="AO4" i="6" a="1"/>
  <c r="AO7" i="6" s="1"/>
  <c r="AJ52" i="11"/>
  <c r="AJ44" i="11"/>
  <c r="AJ51" i="11"/>
  <c r="AJ30" i="11"/>
  <c r="AJ23" i="11"/>
  <c r="AJ32" i="11"/>
  <c r="AJ38" i="11"/>
  <c r="AJ14" i="11"/>
  <c r="AJ46" i="11"/>
  <c r="AJ36" i="11"/>
  <c r="AJ41" i="11"/>
  <c r="AJ26" i="11"/>
  <c r="AJ43" i="11"/>
  <c r="AJ4" i="11"/>
  <c r="AJ31" i="11"/>
  <c r="AJ33" i="11"/>
  <c r="AJ12" i="11"/>
  <c r="AJ49" i="11"/>
  <c r="AJ21" i="11"/>
  <c r="AJ5" i="11"/>
  <c r="AJ39" i="11"/>
  <c r="AJ22" i="11"/>
  <c r="AJ20" i="11"/>
  <c r="AJ19" i="11"/>
  <c r="AJ7" i="11"/>
  <c r="AJ11" i="11"/>
  <c r="AJ6" i="11"/>
  <c r="AJ54" i="11"/>
  <c r="AJ28" i="11"/>
  <c r="AJ37" i="11"/>
  <c r="AJ50" i="11"/>
  <c r="AJ42" i="11"/>
  <c r="AJ35" i="11"/>
  <c r="AJ34" i="11"/>
  <c r="AJ17" i="11"/>
  <c r="AJ10" i="11"/>
  <c r="AJ47" i="11"/>
  <c r="AJ9" i="11"/>
  <c r="AJ18" i="11"/>
  <c r="AJ29" i="11"/>
  <c r="AJ8" i="11"/>
  <c r="AJ53" i="11"/>
  <c r="AJ24" i="11"/>
  <c r="AJ13" i="11"/>
  <c r="AJ48" i="11"/>
  <c r="AJ27" i="11"/>
  <c r="AJ45" i="11"/>
  <c r="AJ40" i="11"/>
  <c r="AJ25" i="11"/>
  <c r="AJ16" i="11"/>
  <c r="AF15" i="11" l="1"/>
  <c r="J18" i="11" s="1"/>
  <c r="AF9" i="11" s="1"/>
  <c r="V7" i="6"/>
  <c r="AJ13" i="6"/>
  <c r="AJ15" i="6"/>
  <c r="AJ12" i="6"/>
  <c r="AJ23" i="6"/>
  <c r="AJ24" i="6"/>
  <c r="AK11" i="11"/>
  <c r="AK15" i="11"/>
  <c r="AK4" i="11"/>
  <c r="AK48" i="11"/>
  <c r="AK46" i="11"/>
  <c r="AK52" i="11"/>
  <c r="AK12" i="11"/>
  <c r="AK44" i="11"/>
  <c r="AK14" i="11"/>
  <c r="AK33" i="11"/>
  <c r="AK54" i="11"/>
  <c r="AK21" i="11"/>
  <c r="AK49" i="11"/>
  <c r="AK30" i="11"/>
  <c r="AK50" i="11"/>
  <c r="AK28" i="11"/>
  <c r="AK34" i="11"/>
  <c r="AK13" i="11"/>
  <c r="AK19" i="11"/>
  <c r="AK38" i="11"/>
  <c r="AK20" i="11"/>
  <c r="AK51" i="11"/>
  <c r="AK42" i="11"/>
  <c r="AK45" i="11"/>
  <c r="AK53" i="11"/>
  <c r="AK31" i="11"/>
  <c r="AK25" i="11"/>
  <c r="AK41" i="11"/>
  <c r="AK32" i="11"/>
  <c r="AK7" i="11"/>
  <c r="AK10" i="11"/>
  <c r="AK22" i="11"/>
  <c r="AK47" i="11"/>
  <c r="AK27" i="11"/>
  <c r="AK29" i="11"/>
  <c r="AK35" i="11"/>
  <c r="AK5" i="11"/>
  <c r="AK24" i="11"/>
  <c r="AK23" i="11"/>
  <c r="AK37" i="11"/>
  <c r="AK16" i="11"/>
  <c r="AK6" i="11"/>
  <c r="AK36" i="11"/>
  <c r="AK18" i="11"/>
  <c r="AK40" i="11"/>
  <c r="Z22" i="11"/>
  <c r="AM4" i="11" s="1" a="1"/>
  <c r="AM36" i="11" s="1"/>
  <c r="AF16" i="11"/>
  <c r="AK17" i="11"/>
  <c r="AK39" i="11"/>
  <c r="AK8" i="11"/>
  <c r="AF14" i="11"/>
  <c r="AK43" i="11"/>
  <c r="AK9" i="11"/>
  <c r="P28" i="11"/>
  <c r="Z17" i="11"/>
  <c r="AO34" i="6"/>
  <c r="AO53" i="6"/>
  <c r="AO22" i="6"/>
  <c r="AO16" i="6"/>
  <c r="AO23" i="6"/>
  <c r="AO19" i="6"/>
  <c r="AO11" i="6"/>
  <c r="AO18" i="6"/>
  <c r="AO39" i="6"/>
  <c r="AO27" i="6"/>
  <c r="AO13" i="6"/>
  <c r="AO8" i="6"/>
  <c r="AO37" i="6"/>
  <c r="AO29" i="6"/>
  <c r="AO4" i="6"/>
  <c r="AO5" i="6"/>
  <c r="AO14" i="6"/>
  <c r="AO42" i="6"/>
  <c r="AO6" i="6"/>
  <c r="AO12" i="6"/>
  <c r="AO40" i="6"/>
  <c r="AO48" i="6"/>
  <c r="AO47" i="6"/>
  <c r="AO17" i="6"/>
  <c r="AO52" i="6"/>
  <c r="AO44" i="6"/>
  <c r="AO28" i="6"/>
  <c r="AO46" i="6"/>
  <c r="AO41" i="6"/>
  <c r="AO26" i="6"/>
  <c r="AO24" i="6"/>
  <c r="AO9" i="6"/>
  <c r="AO51" i="6"/>
  <c r="AO21" i="6"/>
  <c r="AO31" i="6"/>
  <c r="AO50" i="6"/>
  <c r="AO36" i="6"/>
  <c r="AO32" i="6"/>
  <c r="AO20" i="6"/>
  <c r="AO30" i="6"/>
  <c r="AO43" i="6"/>
  <c r="AO35" i="6"/>
  <c r="AO25" i="6"/>
  <c r="AO10" i="6"/>
  <c r="AO45" i="6"/>
  <c r="AO33" i="6"/>
  <c r="AO49" i="6"/>
  <c r="AO38" i="6"/>
  <c r="AO15" i="6"/>
  <c r="AJ55" i="11"/>
  <c r="AN10" i="11" s="1"/>
  <c r="AL46" i="11"/>
  <c r="AL15" i="11"/>
  <c r="AL18" i="11"/>
  <c r="AL6" i="11"/>
  <c r="AL52" i="11"/>
  <c r="AL54" i="11"/>
  <c r="AL47" i="11"/>
  <c r="AL13" i="11"/>
  <c r="AL40" i="11"/>
  <c r="AL7" i="11"/>
  <c r="AL38" i="11"/>
  <c r="AL39" i="11"/>
  <c r="AL29" i="11"/>
  <c r="AL10" i="11"/>
  <c r="AL16" i="11"/>
  <c r="AL50" i="11"/>
  <c r="AL28" i="11"/>
  <c r="AL9" i="11"/>
  <c r="AL35" i="11"/>
  <c r="AL19" i="11"/>
  <c r="AL25" i="11"/>
  <c r="AL4" i="11"/>
  <c r="AL23" i="11"/>
  <c r="AL11" i="11"/>
  <c r="AL22" i="11"/>
  <c r="AL43" i="11"/>
  <c r="AL33" i="11"/>
  <c r="AL27" i="11"/>
  <c r="AL12" i="11"/>
  <c r="AL31" i="11"/>
  <c r="AL49" i="11"/>
  <c r="AL42" i="11"/>
  <c r="AL26" i="11"/>
  <c r="AL21" i="11"/>
  <c r="AL34" i="11"/>
  <c r="AL20" i="11"/>
  <c r="AL51" i="11"/>
  <c r="AL32" i="11"/>
  <c r="AL45" i="11"/>
  <c r="AL36" i="11"/>
  <c r="AL14" i="11"/>
  <c r="AL30" i="11"/>
  <c r="AL48" i="11"/>
  <c r="AL41" i="11"/>
  <c r="AL5" i="11"/>
  <c r="AL37" i="11"/>
  <c r="AL8" i="11"/>
  <c r="AL53" i="11"/>
  <c r="AL17" i="11"/>
  <c r="AL24" i="11"/>
  <c r="AJ14" i="6" l="1"/>
  <c r="AJ16" i="6"/>
  <c r="AK55" i="11"/>
  <c r="AO48" i="11" s="1"/>
  <c r="AM52" i="11"/>
  <c r="AM26" i="11"/>
  <c r="AM49" i="11"/>
  <c r="AM20" i="11"/>
  <c r="AM38" i="11"/>
  <c r="AM25" i="11"/>
  <c r="AM40" i="11"/>
  <c r="AM24" i="11"/>
  <c r="AM39" i="11"/>
  <c r="AM12" i="11"/>
  <c r="AM37" i="11"/>
  <c r="AM8" i="11"/>
  <c r="AM22" i="11"/>
  <c r="AM27" i="11"/>
  <c r="AM42" i="11"/>
  <c r="AM46" i="11"/>
  <c r="AM18" i="11"/>
  <c r="AM41" i="11"/>
  <c r="AM47" i="11"/>
  <c r="AM10" i="11"/>
  <c r="AM4" i="11"/>
  <c r="AM5" i="11"/>
  <c r="AM43" i="11"/>
  <c r="AM53" i="11"/>
  <c r="AM50" i="11"/>
  <c r="AM33" i="11"/>
  <c r="AM11" i="11"/>
  <c r="AM9" i="11"/>
  <c r="AM17" i="11"/>
  <c r="AM23" i="11"/>
  <c r="AM19" i="11"/>
  <c r="AM32" i="11"/>
  <c r="AM35" i="11"/>
  <c r="AM14" i="11"/>
  <c r="AM6" i="11"/>
  <c r="AM16" i="11"/>
  <c r="AM21" i="11"/>
  <c r="AM44" i="11"/>
  <c r="AM51" i="11"/>
  <c r="AM28" i="11"/>
  <c r="AM48" i="11"/>
  <c r="AM45" i="11"/>
  <c r="AM13" i="11"/>
  <c r="AM15" i="11"/>
  <c r="AM54" i="11"/>
  <c r="AM31" i="11"/>
  <c r="AM29" i="11"/>
  <c r="AM7" i="11"/>
  <c r="AM34" i="11"/>
  <c r="AM30" i="11"/>
  <c r="J20" i="11"/>
  <c r="AF10" i="11" s="1"/>
  <c r="AN11" i="11"/>
  <c r="AN48" i="11"/>
  <c r="AN37" i="11"/>
  <c r="AN7" i="11"/>
  <c r="AN22" i="11"/>
  <c r="AN26" i="11"/>
  <c r="AN18" i="11"/>
  <c r="AN52" i="11"/>
  <c r="AN35" i="11"/>
  <c r="AN14" i="11"/>
  <c r="AN30" i="11"/>
  <c r="AN50" i="11"/>
  <c r="AN49" i="11"/>
  <c r="AN36" i="11"/>
  <c r="AN25" i="11"/>
  <c r="AN21" i="11"/>
  <c r="AN13" i="11"/>
  <c r="AN45" i="11"/>
  <c r="AN17" i="11"/>
  <c r="AN9" i="11"/>
  <c r="AN41" i="11"/>
  <c r="AN29" i="11"/>
  <c r="AN40" i="11"/>
  <c r="AN8" i="11"/>
  <c r="AL55" i="11"/>
  <c r="AP21" i="11" s="1"/>
  <c r="AN47" i="11"/>
  <c r="AN28" i="11"/>
  <c r="AN42" i="11"/>
  <c r="AN39" i="11"/>
  <c r="AN16" i="11"/>
  <c r="AN23" i="11"/>
  <c r="AN15" i="11"/>
  <c r="AN43" i="11"/>
  <c r="AN24" i="11"/>
  <c r="AN4" i="11"/>
  <c r="AN32" i="11"/>
  <c r="AN51" i="11"/>
  <c r="AN46" i="11"/>
  <c r="AN54" i="11"/>
  <c r="AN38" i="11"/>
  <c r="AN27" i="11"/>
  <c r="AN44" i="11"/>
  <c r="AN31" i="11"/>
  <c r="AN20" i="11"/>
  <c r="AN19" i="11"/>
  <c r="AN53" i="11"/>
  <c r="AN5" i="11"/>
  <c r="AN34" i="11"/>
  <c r="AN12" i="11"/>
  <c r="AN6" i="11"/>
  <c r="AN33" i="11"/>
  <c r="L18" i="6" l="1"/>
  <c r="L20" i="6" s="1"/>
  <c r="L22" i="6" s="1"/>
  <c r="AO42" i="11"/>
  <c r="AO15" i="11"/>
  <c r="AO40" i="11"/>
  <c r="AO12" i="11"/>
  <c r="AO44" i="11"/>
  <c r="AO37" i="11"/>
  <c r="AO49" i="11"/>
  <c r="AO39" i="11"/>
  <c r="AO11" i="11"/>
  <c r="AO24" i="11"/>
  <c r="AO28" i="11"/>
  <c r="AO23" i="11"/>
  <c r="AO54" i="11"/>
  <c r="AO5" i="11"/>
  <c r="AO8" i="11"/>
  <c r="AO45" i="11"/>
  <c r="AO43" i="11"/>
  <c r="AO16" i="11"/>
  <c r="AO25" i="11"/>
  <c r="AO18" i="11"/>
  <c r="AO50" i="11"/>
  <c r="AO41" i="11"/>
  <c r="AO21" i="11"/>
  <c r="AO10" i="11"/>
  <c r="AO20" i="11"/>
  <c r="AO51" i="11"/>
  <c r="AO22" i="11"/>
  <c r="AO29" i="11"/>
  <c r="AO47" i="11"/>
  <c r="AO4" i="11"/>
  <c r="AO52" i="11"/>
  <c r="AO36" i="11"/>
  <c r="AO30" i="11"/>
  <c r="AO17" i="11"/>
  <c r="AO32" i="11"/>
  <c r="AO26" i="11"/>
  <c r="AO33" i="11"/>
  <c r="AO31" i="11"/>
  <c r="AO7" i="11"/>
  <c r="AO38" i="11"/>
  <c r="AO14" i="11"/>
  <c r="AO35" i="11"/>
  <c r="AO27" i="11"/>
  <c r="AO46" i="11"/>
  <c r="AO53" i="11"/>
  <c r="AO6" i="11"/>
  <c r="AO19" i="11"/>
  <c r="AO9" i="11"/>
  <c r="AO34" i="11"/>
  <c r="AO13" i="11"/>
  <c r="AM55" i="11"/>
  <c r="AQ30" i="11" s="1"/>
  <c r="I34" i="11"/>
  <c r="L20" i="11"/>
  <c r="L34" i="11" s="1"/>
  <c r="L18" i="11"/>
  <c r="J34" i="11" s="1"/>
  <c r="J22" i="11"/>
  <c r="J18" i="6"/>
  <c r="K34" i="11"/>
  <c r="AP30" i="11"/>
  <c r="AP7" i="11"/>
  <c r="AP10" i="11"/>
  <c r="AP35" i="11"/>
  <c r="AP29" i="11"/>
  <c r="AP42" i="11"/>
  <c r="AP23" i="11"/>
  <c r="AP9" i="11"/>
  <c r="AP53" i="11"/>
  <c r="AP5" i="11"/>
  <c r="AP4" i="11"/>
  <c r="AP45" i="11"/>
  <c r="AP11" i="11"/>
  <c r="AP33" i="11"/>
  <c r="AP12" i="11"/>
  <c r="AP22" i="11"/>
  <c r="AP26" i="11"/>
  <c r="AP13" i="11"/>
  <c r="AP6" i="11"/>
  <c r="AP49" i="11"/>
  <c r="AP44" i="11"/>
  <c r="AP52" i="11"/>
  <c r="AP51" i="11"/>
  <c r="AP39" i="11"/>
  <c r="AP32" i="11"/>
  <c r="AP19" i="11"/>
  <c r="AP47" i="11"/>
  <c r="AP20" i="11"/>
  <c r="AP25" i="11"/>
  <c r="AP17" i="11"/>
  <c r="AP43" i="11"/>
  <c r="AP16" i="11"/>
  <c r="AP31" i="11"/>
  <c r="AP18" i="11"/>
  <c r="AP41" i="11"/>
  <c r="AP8" i="11"/>
  <c r="AP37" i="11"/>
  <c r="AP54" i="11"/>
  <c r="AP28" i="11"/>
  <c r="AP14" i="11"/>
  <c r="AP34" i="11"/>
  <c r="AP15" i="11"/>
  <c r="AP46" i="11"/>
  <c r="AP27" i="11"/>
  <c r="AP40" i="11"/>
  <c r="AP50" i="11"/>
  <c r="AP36" i="11"/>
  <c r="AP38" i="11"/>
  <c r="AP48" i="11"/>
  <c r="AP24" i="11"/>
  <c r="AJ10" i="6" l="1"/>
  <c r="N18" i="6"/>
  <c r="AQ17" i="11"/>
  <c r="AQ24" i="11"/>
  <c r="AQ40" i="11"/>
  <c r="AQ45" i="11"/>
  <c r="AQ5" i="11"/>
  <c r="AQ21" i="11"/>
  <c r="AQ27" i="11"/>
  <c r="AQ31" i="11"/>
  <c r="AQ12" i="11"/>
  <c r="AQ52" i="11"/>
  <c r="AQ11" i="11"/>
  <c r="AQ51" i="11"/>
  <c r="AQ4" i="11"/>
  <c r="AQ44" i="11"/>
  <c r="AQ48" i="11"/>
  <c r="AQ43" i="11"/>
  <c r="AQ9" i="11"/>
  <c r="AQ36" i="11"/>
  <c r="AQ47" i="11"/>
  <c r="AQ54" i="11"/>
  <c r="AQ8" i="11"/>
  <c r="AQ10" i="11"/>
  <c r="AQ6" i="11"/>
  <c r="AQ53" i="11"/>
  <c r="AQ34" i="11"/>
  <c r="AQ28" i="11"/>
  <c r="AQ35" i="11"/>
  <c r="AQ7" i="11"/>
  <c r="AQ46" i="11"/>
  <c r="AQ18" i="11"/>
  <c r="AQ41" i="11"/>
  <c r="AQ33" i="11"/>
  <c r="AQ26" i="11"/>
  <c r="AQ42" i="11"/>
  <c r="AQ23" i="11"/>
  <c r="AQ14" i="11"/>
  <c r="AQ32" i="11"/>
  <c r="AQ29" i="11"/>
  <c r="AQ19" i="11"/>
  <c r="AQ49" i="11"/>
  <c r="AQ13" i="11"/>
  <c r="AQ20" i="11"/>
  <c r="AQ16" i="11"/>
  <c r="AQ38" i="11"/>
  <c r="AQ15" i="11"/>
  <c r="AQ25" i="11"/>
  <c r="AQ22" i="11"/>
  <c r="AQ50" i="11"/>
  <c r="AQ37" i="11"/>
  <c r="AQ39" i="11"/>
  <c r="Z3" i="11"/>
  <c r="L22" i="11"/>
  <c r="V5" i="11" s="1"/>
  <c r="Z5" i="11"/>
  <c r="J20" i="6"/>
  <c r="N20" i="6" s="1"/>
  <c r="T22" i="11"/>
  <c r="J8" i="11"/>
  <c r="N27" i="11"/>
  <c r="P16" i="11"/>
  <c r="M34" i="11"/>
  <c r="Z3" i="6" l="1"/>
  <c r="Z5" i="6"/>
  <c r="Z6" i="11"/>
  <c r="V22" i="11" s="1"/>
  <c r="V3" i="11"/>
  <c r="V6" i="11" s="1"/>
  <c r="U22" i="11" s="1"/>
  <c r="M27" i="6"/>
  <c r="T22" i="6"/>
  <c r="S22" i="6"/>
  <c r="P16" i="6"/>
  <c r="J22" i="6"/>
  <c r="AJ9" i="6" s="1"/>
  <c r="J8" i="6"/>
  <c r="N26" i="11"/>
  <c r="E26" i="6"/>
  <c r="C31" i="6" s="1"/>
  <c r="E27" i="6"/>
  <c r="K31" i="6" s="1"/>
  <c r="Z6" i="6" l="1"/>
  <c r="V22" i="6" s="1"/>
  <c r="V3" i="6"/>
  <c r="V5" i="6"/>
  <c r="M26" i="6"/>
  <c r="V6" i="6" l="1"/>
  <c r="U22" i="6" s="1"/>
  <c r="AP4" i="6" a="1"/>
  <c r="AP37" i="6" s="1"/>
  <c r="AP49" i="6" l="1"/>
  <c r="AP18" i="6"/>
  <c r="AP24" i="6"/>
  <c r="AP14" i="6"/>
  <c r="AP35" i="6"/>
  <c r="AP29" i="6"/>
  <c r="AP51" i="6"/>
  <c r="AP9" i="6"/>
  <c r="AP52" i="6"/>
  <c r="AP36" i="6"/>
  <c r="AP15" i="6"/>
  <c r="AP40" i="6"/>
  <c r="AP32" i="6"/>
  <c r="AP48" i="6"/>
  <c r="AP39" i="6"/>
  <c r="AP25" i="6"/>
  <c r="AP16" i="6"/>
  <c r="AP43" i="6"/>
  <c r="AP22" i="6"/>
  <c r="AP12" i="6"/>
  <c r="AP50" i="6"/>
  <c r="AP44" i="6"/>
  <c r="AP10" i="6"/>
  <c r="AP42" i="6"/>
  <c r="AP26" i="6"/>
  <c r="AP11" i="6"/>
  <c r="AP46" i="6"/>
  <c r="AP47" i="6"/>
  <c r="AP19" i="6"/>
  <c r="AP45" i="6"/>
  <c r="AP17" i="6"/>
  <c r="AP28" i="6"/>
  <c r="AP31" i="6"/>
  <c r="AP7" i="6"/>
  <c r="AP27" i="6"/>
  <c r="AP30" i="6"/>
  <c r="AP8" i="6"/>
  <c r="AP33" i="6"/>
  <c r="AP6" i="6"/>
  <c r="AP23" i="6"/>
  <c r="AP41" i="6"/>
  <c r="AP13" i="6"/>
  <c r="AP53" i="6"/>
  <c r="AP38" i="6"/>
  <c r="AP21" i="6"/>
  <c r="AP5" i="6"/>
  <c r="AP4" i="6"/>
  <c r="AP20" i="6"/>
  <c r="AP34" i="6"/>
  <c r="P20" i="13"/>
  <c r="K22" i="13"/>
  <c r="T22" i="13" l="1"/>
  <c r="P22" i="13"/>
  <c r="L28" i="13" s="1"/>
  <c r="V3" i="13" s="1"/>
  <c r="X10" i="13"/>
  <c r="X12" i="13"/>
  <c r="X9" i="13"/>
  <c r="X11" i="13"/>
  <c r="I24" i="13"/>
  <c r="M30" i="13"/>
  <c r="L27" i="13" l="1"/>
  <c r="Y3" i="13" s="1"/>
  <c r="Y6" i="13"/>
  <c r="Y12" i="13"/>
  <c r="S22" i="13"/>
  <c r="Y9" i="13"/>
  <c r="V6" i="13" s="1"/>
  <c r="Y10" i="13"/>
  <c r="N24" i="13"/>
  <c r="Y11" i="13"/>
  <c r="V22" i="13" l="1"/>
  <c r="U22" i="13"/>
  <c r="AN4" i="13" a="1"/>
  <c r="AN63" i="13" s="1"/>
  <c r="X17" i="13"/>
  <c r="AM4" i="13" s="1" a="1"/>
  <c r="AM24" i="13" s="1"/>
  <c r="AN100" i="13" l="1"/>
  <c r="AN103" i="13"/>
  <c r="AN87" i="13"/>
  <c r="AN69" i="13"/>
  <c r="AN52" i="13"/>
  <c r="AN73" i="13"/>
  <c r="AN47" i="13"/>
  <c r="AN4" i="13"/>
  <c r="AN26" i="13"/>
  <c r="AN45" i="13"/>
  <c r="AN40" i="13"/>
  <c r="AN102" i="13"/>
  <c r="AN84" i="13"/>
  <c r="AN77" i="13"/>
  <c r="AN43" i="13"/>
  <c r="AN89" i="13"/>
  <c r="AN30" i="13"/>
  <c r="AN53" i="13"/>
  <c r="AN72" i="13"/>
  <c r="AN25" i="13"/>
  <c r="AN97" i="13"/>
  <c r="AN35" i="13"/>
  <c r="AN48" i="13"/>
  <c r="AN60" i="13"/>
  <c r="AN33" i="13"/>
  <c r="AN65" i="13"/>
  <c r="AN6" i="13"/>
  <c r="AN29" i="13"/>
  <c r="AN71" i="13"/>
  <c r="AN32" i="13"/>
  <c r="AN70" i="13"/>
  <c r="AN50" i="13"/>
  <c r="AN41" i="13"/>
  <c r="AN104" i="13"/>
  <c r="AN9" i="13"/>
  <c r="AN15" i="13"/>
  <c r="AN54" i="13"/>
  <c r="AN51" i="13"/>
  <c r="AN76" i="13"/>
  <c r="AN22" i="13"/>
  <c r="AN49" i="13"/>
  <c r="AN91" i="13"/>
  <c r="AN24" i="13"/>
  <c r="AN16" i="13"/>
  <c r="AN94" i="13"/>
  <c r="AN10" i="13"/>
  <c r="AN96" i="13"/>
  <c r="AN79" i="13"/>
  <c r="AN18" i="13"/>
  <c r="AN88" i="13"/>
  <c r="AN82" i="13"/>
  <c r="AN85" i="13"/>
  <c r="AN95" i="13"/>
  <c r="AN90" i="13"/>
  <c r="AN75" i="13"/>
  <c r="AN67" i="13"/>
  <c r="AN62" i="13"/>
  <c r="AN27" i="13"/>
  <c r="AN44" i="13"/>
  <c r="AN57" i="13"/>
  <c r="AN13" i="13"/>
  <c r="AN39" i="13"/>
  <c r="AN23" i="13"/>
  <c r="AN5" i="13"/>
  <c r="AN80" i="13"/>
  <c r="AN68" i="13"/>
  <c r="AN56" i="13"/>
  <c r="AN74" i="13"/>
  <c r="AN20" i="13"/>
  <c r="AN28" i="13"/>
  <c r="AN55" i="13"/>
  <c r="AN66" i="13"/>
  <c r="AN11" i="13"/>
  <c r="AN17" i="13"/>
  <c r="AN19" i="13"/>
  <c r="AN58" i="13"/>
  <c r="AN46" i="13"/>
  <c r="AN81" i="13"/>
  <c r="AN101" i="13"/>
  <c r="AN61" i="13"/>
  <c r="AN83" i="13"/>
  <c r="AN42" i="13"/>
  <c r="AN14" i="13"/>
  <c r="AN21" i="13"/>
  <c r="AN59" i="13"/>
  <c r="AN98" i="13"/>
  <c r="AN37" i="13"/>
  <c r="AN38" i="13"/>
  <c r="AN31" i="13"/>
  <c r="AN93" i="13"/>
  <c r="AN64" i="13"/>
  <c r="AN8" i="13"/>
  <c r="AN78" i="13"/>
  <c r="AN34" i="13"/>
  <c r="AN7" i="13"/>
  <c r="AN12" i="13"/>
  <c r="AN99" i="13"/>
  <c r="AN86" i="13"/>
  <c r="AN36" i="13"/>
  <c r="AN92" i="13"/>
  <c r="AM47" i="13"/>
  <c r="AM43" i="13"/>
  <c r="AM20" i="13"/>
  <c r="AM38" i="13"/>
  <c r="AM44" i="13"/>
  <c r="AM4" i="13"/>
  <c r="AM29" i="13"/>
  <c r="AM37" i="13"/>
  <c r="AM19" i="13"/>
  <c r="AM41" i="13"/>
  <c r="AM50" i="13"/>
  <c r="AM32" i="13"/>
  <c r="AM28" i="13"/>
  <c r="AM22" i="13"/>
  <c r="AM11" i="13"/>
  <c r="AM5" i="13"/>
  <c r="AM12" i="13"/>
  <c r="AM15" i="13"/>
  <c r="AM52" i="13"/>
  <c r="AM7" i="13"/>
  <c r="AM45" i="13"/>
  <c r="AM23" i="13"/>
  <c r="AM36" i="13"/>
  <c r="AM13" i="13"/>
  <c r="AM40" i="13"/>
  <c r="AM17" i="13"/>
  <c r="AM21" i="13"/>
  <c r="AM51" i="13"/>
  <c r="AM27" i="13"/>
  <c r="AM25" i="13"/>
  <c r="AM31" i="13"/>
  <c r="AM8" i="13"/>
  <c r="AM39" i="13"/>
  <c r="AM30" i="13"/>
  <c r="AM42" i="13"/>
  <c r="AM14" i="13"/>
  <c r="AM49" i="13"/>
  <c r="AM10" i="13"/>
  <c r="AM26" i="13"/>
  <c r="AM6" i="13"/>
  <c r="AM33" i="13"/>
  <c r="AM53" i="13"/>
  <c r="AM18" i="13"/>
  <c r="AM46" i="13"/>
  <c r="AM35" i="13"/>
  <c r="AM34" i="13"/>
  <c r="AM9" i="13"/>
  <c r="AM48" i="13"/>
  <c r="AM16"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AC1" authorId="0" shapeId="0" xr:uid="{00000000-0006-0000-0100-000001000000}">
      <text>
        <r>
          <rPr>
            <b/>
            <sz val="8"/>
            <color rgb="FF000000"/>
            <rFont val="Tahoma"/>
            <family val="2"/>
          </rPr>
          <t>This is where the bias parameters for a single simulation are sampled</t>
        </r>
        <r>
          <rPr>
            <sz val="8"/>
            <color rgb="FF000000"/>
            <rFont val="Tahoma"/>
            <family val="2"/>
          </rPr>
          <t xml:space="preserve">
</t>
        </r>
      </text>
    </comment>
    <comment ref="AI2" authorId="0" shapeId="0" xr:uid="{00000000-0006-0000-0100-000002000000}">
      <text>
        <r>
          <rPr>
            <b/>
            <sz val="8"/>
            <color rgb="FF000000"/>
            <rFont val="Tahoma"/>
            <family val="2"/>
          </rPr>
          <t>This is where data for the graphs of the bias parameters is created</t>
        </r>
        <r>
          <rPr>
            <sz val="8"/>
            <color rgb="FF000000"/>
            <rFont val="Tahoma"/>
            <family val="2"/>
          </rPr>
          <t xml:space="preserve">
</t>
        </r>
      </text>
    </comment>
    <comment ref="B8" authorId="0" shapeId="0" xr:uid="{00000000-0006-0000-0100-000003000000}">
      <text>
        <r>
          <rPr>
            <b/>
            <sz val="8"/>
            <color indexed="81"/>
            <rFont val="Tahoma"/>
            <family val="2"/>
          </rPr>
          <t>Sensitivity of exposure classification among those with the outcome</t>
        </r>
        <r>
          <rPr>
            <sz val="8"/>
            <color indexed="81"/>
            <rFont val="Tahoma"/>
            <family val="2"/>
          </rPr>
          <t xml:space="preserve">
</t>
        </r>
      </text>
    </comment>
    <comment ref="I8" authorId="0" shapeId="0" xr:uid="{00000000-0006-0000-0100-000004000000}">
      <text>
        <r>
          <rPr>
            <b/>
            <sz val="8"/>
            <color rgb="FF000000"/>
            <rFont val="Tahoma"/>
            <family val="2"/>
          </rPr>
          <t>Checks if the values entered for the bias parameters are logical (i.e min &lt; mod1&lt; mod2&lt;max)</t>
        </r>
        <r>
          <rPr>
            <sz val="8"/>
            <color rgb="FF000000"/>
            <rFont val="Tahoma"/>
            <family val="2"/>
          </rPr>
          <t xml:space="preserve">
</t>
        </r>
      </text>
    </comment>
    <comment ref="B9" authorId="0" shapeId="0" xr:uid="{00000000-0006-0000-0100-000005000000}">
      <text>
        <r>
          <rPr>
            <b/>
            <sz val="8"/>
            <color indexed="81"/>
            <rFont val="Tahoma"/>
            <family val="2"/>
          </rPr>
          <t>Sensitivity of exposure classification among those without the outcome</t>
        </r>
        <r>
          <rPr>
            <sz val="8"/>
            <color indexed="81"/>
            <rFont val="Tahoma"/>
            <family val="2"/>
          </rPr>
          <t xml:space="preserve">
</t>
        </r>
      </text>
    </comment>
    <comment ref="B10" authorId="0" shapeId="0" xr:uid="{00000000-0006-0000-0100-000006000000}">
      <text>
        <r>
          <rPr>
            <b/>
            <sz val="8"/>
            <color indexed="81"/>
            <rFont val="Tahoma"/>
            <family val="2"/>
          </rPr>
          <t>Specificity of exposure classification among those with the outcome</t>
        </r>
        <r>
          <rPr>
            <sz val="8"/>
            <color indexed="81"/>
            <rFont val="Tahoma"/>
            <family val="2"/>
          </rPr>
          <t xml:space="preserve">
</t>
        </r>
      </text>
    </comment>
    <comment ref="B11" authorId="0" shapeId="0" xr:uid="{00000000-0006-0000-0100-000007000000}">
      <text>
        <r>
          <rPr>
            <b/>
            <sz val="8"/>
            <color indexed="81"/>
            <rFont val="Tahoma"/>
            <family val="2"/>
          </rPr>
          <t>Specificity of exposure classification among those without the outcome</t>
        </r>
        <r>
          <rPr>
            <sz val="8"/>
            <color indexed="81"/>
            <rFont val="Tahoma"/>
            <family val="2"/>
          </rPr>
          <t xml:space="preserve">
</t>
        </r>
      </text>
    </comment>
    <comment ref="B12" authorId="0" shapeId="0" xr:uid="{00000000-0006-0000-0100-000008000000}">
      <text>
        <r>
          <rPr>
            <b/>
            <sz val="8"/>
            <color rgb="FF000000"/>
            <rFont val="Tahoma"/>
            <family val="2"/>
          </rPr>
          <t>Choose ND for non-differential and D for differential</t>
        </r>
        <r>
          <rPr>
            <sz val="8"/>
            <color rgb="FF000000"/>
            <rFont val="Tahoma"/>
            <family val="2"/>
          </rPr>
          <t xml:space="preserve">
</t>
        </r>
      </text>
    </comment>
    <comment ref="E12" authorId="0" shapeId="0" xr:uid="{00000000-0006-0000-0100-000009000000}">
      <text>
        <r>
          <rPr>
            <b/>
            <sz val="8"/>
            <color rgb="FF000000"/>
            <rFont val="Tahoma"/>
            <family val="2"/>
          </rPr>
          <t>Is misclassification non-differential (ND) or differential (D)?</t>
        </r>
        <r>
          <rPr>
            <sz val="8"/>
            <color rgb="FF000000"/>
            <rFont val="Tahoma"/>
            <family val="2"/>
          </rPr>
          <t xml:space="preserve">
</t>
        </r>
      </text>
    </comment>
    <comment ref="I12" authorId="0" shapeId="0" xr:uid="{00000000-0006-0000-0100-00000A000000}">
      <text>
        <r>
          <rPr>
            <b/>
            <sz val="8"/>
            <color rgb="FF000000"/>
            <rFont val="Tahoma"/>
            <family val="2"/>
          </rPr>
          <t>Enter the number of simulations to run</t>
        </r>
        <r>
          <rPr>
            <sz val="8"/>
            <color rgb="FF000000"/>
            <rFont val="Tahoma"/>
            <family val="2"/>
          </rPr>
          <t xml:space="preserve">
</t>
        </r>
      </text>
    </comment>
    <comment ref="C14" authorId="0" shapeId="0" xr:uid="{00000000-0006-0000-0100-00000C000000}">
      <text>
        <r>
          <rPr>
            <b/>
            <sz val="8"/>
            <color rgb="FF000000"/>
            <rFont val="Tahoma"/>
            <family val="2"/>
          </rPr>
          <t>What is the exposure?</t>
        </r>
        <r>
          <rPr>
            <sz val="8"/>
            <color rgb="FF000000"/>
            <rFont val="Tahoma"/>
            <family val="2"/>
          </rPr>
          <t xml:space="preserve">
</t>
        </r>
      </text>
    </comment>
    <comment ref="G14" authorId="0" shapeId="0" xr:uid="{00000000-0006-0000-0100-00000D000000}">
      <text>
        <r>
          <rPr>
            <b/>
            <sz val="8"/>
            <color rgb="FF000000"/>
            <rFont val="Tahoma"/>
            <family val="2"/>
          </rPr>
          <t xml:space="preserve">What is the outcome?
</t>
        </r>
      </text>
    </comment>
    <comment ref="I15" authorId="0" shapeId="0" xr:uid="{00000000-0006-0000-0100-00000E000000}">
      <text>
        <r>
          <rPr>
            <b/>
            <sz val="8"/>
            <color rgb="FF000000"/>
            <rFont val="Tahoma"/>
            <family val="2"/>
          </rPr>
          <t>The green cells below shows a single correction for a given sensitivity and specificity.</t>
        </r>
      </text>
    </comment>
    <comment ref="S20" authorId="0" shapeId="0" xr:uid="{00000000-0006-0000-0100-00000F000000}">
      <text>
        <r>
          <rPr>
            <b/>
            <sz val="8"/>
            <color rgb="FF000000"/>
            <rFont val="Tahoma"/>
            <family val="2"/>
          </rPr>
          <t>This is where the systematic error simulation data is stored</t>
        </r>
        <r>
          <rPr>
            <sz val="8"/>
            <color rgb="FF000000"/>
            <rFont val="Tahoma"/>
            <family val="2"/>
          </rPr>
          <t xml:space="preserve">
</t>
        </r>
      </text>
    </comment>
    <comment ref="U20" authorId="0" shapeId="0" xr:uid="{00000000-0006-0000-0100-000010000000}">
      <text>
        <r>
          <rPr>
            <b/>
            <sz val="8"/>
            <color indexed="8"/>
            <rFont val="Tahoma"/>
            <family val="2"/>
          </rPr>
          <t>This is where the systematic and random error simulation data is stored</t>
        </r>
        <r>
          <rPr>
            <sz val="8"/>
            <color indexed="8"/>
            <rFont val="Tahoma"/>
            <family val="2"/>
          </rPr>
          <t xml:space="preserve">
</t>
        </r>
      </text>
    </comment>
    <comment ref="W20" authorId="0" shapeId="0" xr:uid="{00000000-0006-0000-0100-000011000000}">
      <text>
        <r>
          <rPr>
            <b/>
            <sz val="8"/>
            <color rgb="FF000000"/>
            <rFont val="Tahoma"/>
            <family val="2"/>
          </rPr>
          <t>This is where the sampled bias parameters are stored</t>
        </r>
        <r>
          <rPr>
            <sz val="8"/>
            <color rgb="FF000000"/>
            <rFont val="Tahoma"/>
            <family val="2"/>
          </rPr>
          <t xml:space="preserve">
</t>
        </r>
      </text>
    </comment>
    <comment ref="P29" authorId="0" shapeId="0" xr:uid="{00000000-0006-0000-0100-000012000000}">
      <text>
        <r>
          <rPr>
            <sz val="12"/>
            <color rgb="FF000000"/>
            <rFont val="Arial"/>
            <family val="2"/>
          </rPr>
          <t>Number of simulations that were discarded because of negative cells or 0 cells.</t>
        </r>
      </text>
    </comment>
    <comment ref="B31" authorId="0" shapeId="0" xr:uid="{00000000-0006-0000-0100-000013000000}">
      <text>
        <r>
          <rPr>
            <b/>
            <sz val="8"/>
            <color indexed="81"/>
            <rFont val="Tahoma"/>
            <family val="2"/>
          </rPr>
          <t>Traditional 95% confidence interval including only random error</t>
        </r>
      </text>
    </comment>
    <comment ref="I31" authorId="0" shapeId="0" xr:uid="{00000000-0006-0000-0100-000014000000}">
      <text>
        <r>
          <rPr>
            <b/>
            <sz val="8"/>
            <color indexed="81"/>
            <rFont val="Tahoma"/>
            <family val="2"/>
          </rPr>
          <t>Traditional 95% confidence interval including only random error</t>
        </r>
      </text>
    </comment>
    <comment ref="B32" authorId="0" shapeId="0" xr:uid="{00000000-0006-0000-0100-000015000000}">
      <text>
        <r>
          <rPr>
            <b/>
            <sz val="8"/>
            <color indexed="81"/>
            <rFont val="Tahoma"/>
            <family val="2"/>
          </rPr>
          <t>Simulation interval including only systematic error</t>
        </r>
        <r>
          <rPr>
            <sz val="8"/>
            <color indexed="81"/>
            <rFont val="Tahoma"/>
            <family val="2"/>
          </rPr>
          <t xml:space="preserve">
</t>
        </r>
      </text>
    </comment>
    <comment ref="I32" authorId="0" shapeId="0" xr:uid="{00000000-0006-0000-0100-000016000000}">
      <text>
        <r>
          <rPr>
            <b/>
            <sz val="8"/>
            <color indexed="81"/>
            <rFont val="Tahoma"/>
            <family val="2"/>
          </rPr>
          <t>Simulation interval including only systematic error</t>
        </r>
        <r>
          <rPr>
            <sz val="8"/>
            <color indexed="81"/>
            <rFont val="Tahoma"/>
            <family val="2"/>
          </rPr>
          <t xml:space="preserve">
</t>
        </r>
      </text>
    </comment>
    <comment ref="B33" authorId="0" shapeId="0" xr:uid="{00000000-0006-0000-0100-000017000000}">
      <text>
        <r>
          <rPr>
            <b/>
            <sz val="8"/>
            <color indexed="81"/>
            <rFont val="Tahoma"/>
            <family val="2"/>
          </rPr>
          <t xml:space="preserve">Simulation interval including both systematic and random error
</t>
        </r>
        <r>
          <rPr>
            <sz val="8"/>
            <color indexed="81"/>
            <rFont val="Tahoma"/>
            <family val="2"/>
          </rPr>
          <t xml:space="preserve">
</t>
        </r>
      </text>
    </comment>
    <comment ref="I33" authorId="0" shapeId="0" xr:uid="{00000000-0006-0000-0100-000018000000}">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AC1" authorId="0" shapeId="0" xr:uid="{00000000-0006-0000-0200-000001000000}">
      <text>
        <r>
          <rPr>
            <b/>
            <sz val="8"/>
            <color rgb="FF000000"/>
            <rFont val="Tahoma"/>
            <family val="2"/>
          </rPr>
          <t>This is where the bias parameters for a single simulation are sampled</t>
        </r>
        <r>
          <rPr>
            <sz val="8"/>
            <color rgb="FF000000"/>
            <rFont val="Tahoma"/>
            <family val="2"/>
          </rPr>
          <t xml:space="preserve">
</t>
        </r>
      </text>
    </comment>
    <comment ref="AL2" authorId="0" shapeId="0" xr:uid="{00000000-0006-0000-0200-000002000000}">
      <text>
        <r>
          <rPr>
            <b/>
            <sz val="8"/>
            <color indexed="81"/>
            <rFont val="Tahoma"/>
            <family val="2"/>
          </rPr>
          <t>This is where data for the graphs of the bias parameters is created</t>
        </r>
        <r>
          <rPr>
            <sz val="8"/>
            <color indexed="81"/>
            <rFont val="Tahoma"/>
            <family val="2"/>
          </rPr>
          <t xml:space="preserve">
</t>
        </r>
      </text>
    </comment>
    <comment ref="C7" authorId="0" shapeId="0" xr:uid="{00000000-0006-0000-0200-000003000000}">
      <text>
        <r>
          <rPr>
            <b/>
            <sz val="8"/>
            <color indexed="81"/>
            <rFont val="Tahoma"/>
            <family val="2"/>
          </rPr>
          <t>Minimum value for distribution</t>
        </r>
      </text>
    </comment>
    <comment ref="E7" authorId="0" shapeId="0" xr:uid="{00000000-0006-0000-0200-000004000000}">
      <text>
        <r>
          <rPr>
            <b/>
            <sz val="8"/>
            <color indexed="81"/>
            <rFont val="Tahoma"/>
            <family val="2"/>
          </rPr>
          <t>Lower mode value for distribution</t>
        </r>
        <r>
          <rPr>
            <sz val="8"/>
            <color indexed="81"/>
            <rFont val="Tahoma"/>
            <family val="2"/>
          </rPr>
          <t xml:space="preserve">
</t>
        </r>
      </text>
    </comment>
    <comment ref="I7" authorId="0" shapeId="0" xr:uid="{00000000-0006-0000-0200-000005000000}">
      <text>
        <r>
          <rPr>
            <b/>
            <sz val="8"/>
            <color indexed="81"/>
            <rFont val="Tahoma"/>
            <family val="2"/>
          </rPr>
          <t>Maximum value for distribution</t>
        </r>
        <r>
          <rPr>
            <sz val="8"/>
            <color indexed="81"/>
            <rFont val="Tahoma"/>
            <family val="2"/>
          </rPr>
          <t xml:space="preserve">
</t>
        </r>
      </text>
    </comment>
    <comment ref="B8" authorId="0" shapeId="0" xr:uid="{00000000-0006-0000-0200-000006000000}">
      <text>
        <r>
          <rPr>
            <b/>
            <sz val="8"/>
            <color indexed="81"/>
            <rFont val="Tahoma"/>
            <family val="2"/>
          </rPr>
          <t>Sensitivity of exposure classification among those with the outcome</t>
        </r>
        <r>
          <rPr>
            <sz val="8"/>
            <color indexed="81"/>
            <rFont val="Tahoma"/>
            <family val="2"/>
          </rPr>
          <t xml:space="preserve">
</t>
        </r>
      </text>
    </comment>
    <comment ref="I8" authorId="0" shapeId="0" xr:uid="{00000000-0006-0000-0200-000007000000}">
      <text>
        <r>
          <rPr>
            <b/>
            <sz val="8"/>
            <color indexed="81"/>
            <rFont val="Tahoma"/>
            <family val="2"/>
          </rPr>
          <t>Checks if the values entered for the bias parameters are logical (i.e min &lt; mod1&lt; mod2&lt;max)</t>
        </r>
        <r>
          <rPr>
            <sz val="8"/>
            <color indexed="81"/>
            <rFont val="Tahoma"/>
            <family val="2"/>
          </rPr>
          <t xml:space="preserve">
</t>
        </r>
      </text>
    </comment>
    <comment ref="B9" authorId="0" shapeId="0" xr:uid="{00000000-0006-0000-0200-000008000000}">
      <text>
        <r>
          <rPr>
            <b/>
            <sz val="8"/>
            <color indexed="81"/>
            <rFont val="Tahoma"/>
            <family val="2"/>
          </rPr>
          <t>Sensitivity of exposure classification among those without the outcome</t>
        </r>
        <r>
          <rPr>
            <sz val="8"/>
            <color indexed="81"/>
            <rFont val="Tahoma"/>
            <family val="2"/>
          </rPr>
          <t xml:space="preserve">
</t>
        </r>
      </text>
    </comment>
    <comment ref="B10" authorId="0" shapeId="0" xr:uid="{00000000-0006-0000-0200-000009000000}">
      <text>
        <r>
          <rPr>
            <b/>
            <sz val="8"/>
            <color indexed="81"/>
            <rFont val="Tahoma"/>
            <family val="2"/>
          </rPr>
          <t>Specificity of exposure classification among those with the outcome</t>
        </r>
        <r>
          <rPr>
            <sz val="8"/>
            <color indexed="81"/>
            <rFont val="Tahoma"/>
            <family val="2"/>
          </rPr>
          <t xml:space="preserve">
</t>
        </r>
      </text>
    </comment>
    <comment ref="B11" authorId="0" shapeId="0" xr:uid="{00000000-0006-0000-0200-00000A000000}">
      <text>
        <r>
          <rPr>
            <b/>
            <sz val="8"/>
            <color indexed="81"/>
            <rFont val="Tahoma"/>
            <family val="2"/>
          </rPr>
          <t>Specificity of exposure classification among those without the outcome</t>
        </r>
        <r>
          <rPr>
            <sz val="8"/>
            <color indexed="81"/>
            <rFont val="Tahoma"/>
            <family val="2"/>
          </rPr>
          <t xml:space="preserve">
</t>
        </r>
      </text>
    </comment>
    <comment ref="B12" authorId="0" shapeId="0" xr:uid="{00000000-0006-0000-0200-00000B000000}">
      <text>
        <r>
          <rPr>
            <b/>
            <sz val="8"/>
            <color indexed="81"/>
            <rFont val="Tahoma"/>
            <family val="2"/>
          </rPr>
          <t>Choose ND for non-differential and D for differential</t>
        </r>
        <r>
          <rPr>
            <sz val="8"/>
            <color indexed="81"/>
            <rFont val="Tahoma"/>
            <family val="2"/>
          </rPr>
          <t xml:space="preserve">
</t>
        </r>
      </text>
    </comment>
    <comment ref="E12" authorId="0" shapeId="0" xr:uid="{00000000-0006-0000-0200-00000C000000}">
      <text>
        <r>
          <rPr>
            <b/>
            <sz val="8"/>
            <color rgb="FF000000"/>
            <rFont val="Tahoma"/>
            <family val="2"/>
          </rPr>
          <t>Is misclassification non-differential (ND) or differential (D)?</t>
        </r>
        <r>
          <rPr>
            <sz val="8"/>
            <color rgb="FF000000"/>
            <rFont val="Tahoma"/>
            <family val="2"/>
          </rPr>
          <t xml:space="preserve">
</t>
        </r>
      </text>
    </comment>
    <comment ref="G12" authorId="0" shapeId="0" xr:uid="{00000000-0006-0000-0200-00000D000000}">
      <text>
        <r>
          <rPr>
            <b/>
            <sz val="8"/>
            <color indexed="81"/>
            <rFont val="Tahoma"/>
            <family val="2"/>
          </rPr>
          <t>Enter the number of simulations to run</t>
        </r>
        <r>
          <rPr>
            <sz val="8"/>
            <color indexed="81"/>
            <rFont val="Tahoma"/>
            <family val="2"/>
          </rPr>
          <t xml:space="preserve">
</t>
        </r>
      </text>
    </comment>
    <comment ref="I12" authorId="0" shapeId="0" xr:uid="{00000000-0006-0000-0200-00000E000000}">
      <text>
        <r>
          <rPr>
            <b/>
            <sz val="8"/>
            <color rgb="FF000000"/>
            <rFont val="Tahoma"/>
            <family val="2"/>
          </rPr>
          <t>Enter the number of simulations to run</t>
        </r>
        <r>
          <rPr>
            <sz val="8"/>
            <color rgb="FF000000"/>
            <rFont val="Tahoma"/>
            <family val="2"/>
          </rPr>
          <t xml:space="preserve">
</t>
        </r>
      </text>
    </comment>
    <comment ref="C14" authorId="0" shapeId="0" xr:uid="{00000000-0006-0000-0200-00000F000000}">
      <text>
        <r>
          <rPr>
            <b/>
            <sz val="8"/>
            <color indexed="81"/>
            <rFont val="Tahoma"/>
            <family val="2"/>
          </rPr>
          <t>What is the exposure?</t>
        </r>
        <r>
          <rPr>
            <sz val="8"/>
            <color indexed="81"/>
            <rFont val="Tahoma"/>
            <family val="2"/>
          </rPr>
          <t xml:space="preserve">
</t>
        </r>
      </text>
    </comment>
    <comment ref="G14" authorId="0" shapeId="0" xr:uid="{00000000-0006-0000-0200-000010000000}">
      <text>
        <r>
          <rPr>
            <b/>
            <sz val="8"/>
            <color rgb="FF000000"/>
            <rFont val="Tahoma"/>
            <family val="2"/>
          </rPr>
          <t xml:space="preserve">What is the outcome?
</t>
        </r>
      </text>
    </comment>
    <comment ref="I15" authorId="0" shapeId="0" xr:uid="{00000000-0006-0000-0200-000011000000}">
      <text>
        <r>
          <rPr>
            <b/>
            <sz val="8"/>
            <color rgb="FF000000"/>
            <rFont val="Tahoma"/>
            <family val="2"/>
          </rPr>
          <t>The green cells below shows a single correction for a given sensitivity and specificity.</t>
        </r>
      </text>
    </comment>
    <comment ref="O17" authorId="0" shapeId="0" xr:uid="{00000000-0006-0000-0200-000012000000}">
      <text>
        <r>
          <rPr>
            <b/>
            <sz val="8"/>
            <color rgb="FF000000"/>
            <rFont val="Tahoma"/>
            <family val="2"/>
          </rPr>
          <t>For the current simulation, these are the values that were chosen from the bias parameter distributions</t>
        </r>
        <r>
          <rPr>
            <sz val="8"/>
            <color rgb="FF000000"/>
            <rFont val="Tahoma"/>
            <family val="2"/>
          </rPr>
          <t xml:space="preserve">
</t>
        </r>
      </text>
    </comment>
    <comment ref="S20" authorId="0" shapeId="0" xr:uid="{00000000-0006-0000-0200-000013000000}">
      <text>
        <r>
          <rPr>
            <b/>
            <sz val="8"/>
            <color indexed="81"/>
            <rFont val="Tahoma"/>
            <family val="2"/>
          </rPr>
          <t>This is where the systematic error simulation data is stored</t>
        </r>
        <r>
          <rPr>
            <sz val="8"/>
            <color indexed="81"/>
            <rFont val="Tahoma"/>
            <family val="2"/>
          </rPr>
          <t xml:space="preserve">
</t>
        </r>
      </text>
    </comment>
    <comment ref="U20" authorId="0" shapeId="0" xr:uid="{00000000-0006-0000-0200-000014000000}">
      <text>
        <r>
          <rPr>
            <b/>
            <sz val="8"/>
            <color rgb="FF000000"/>
            <rFont val="Tahoma"/>
            <family val="2"/>
          </rPr>
          <t>This is where the systematic and random error simulation data is stored</t>
        </r>
        <r>
          <rPr>
            <sz val="8"/>
            <color rgb="FF000000"/>
            <rFont val="Tahoma"/>
            <family val="2"/>
          </rPr>
          <t xml:space="preserve">
</t>
        </r>
      </text>
    </comment>
    <comment ref="W20" authorId="0" shapeId="0" xr:uid="{00000000-0006-0000-0200-000015000000}">
      <text>
        <r>
          <rPr>
            <b/>
            <sz val="8"/>
            <color indexed="81"/>
            <rFont val="Tahoma"/>
            <family val="2"/>
          </rPr>
          <t>This is where the sampled bias parameters are stored</t>
        </r>
        <r>
          <rPr>
            <sz val="8"/>
            <color indexed="81"/>
            <rFont val="Tahoma"/>
            <family val="2"/>
          </rPr>
          <t xml:space="preserve">
</t>
        </r>
      </text>
    </comment>
    <comment ref="P29" authorId="0" shapeId="0" xr:uid="{00000000-0006-0000-0200-000016000000}">
      <text>
        <r>
          <rPr>
            <sz val="10"/>
            <color rgb="FF000000"/>
            <rFont val="Arial"/>
            <family val="2"/>
          </rPr>
          <t>Number of simulations that were discarded because of negative cells or 0 cells.</t>
        </r>
      </text>
    </comment>
    <comment ref="B31" authorId="0" shapeId="0" xr:uid="{00000000-0006-0000-0200-000017000000}">
      <text>
        <r>
          <rPr>
            <b/>
            <sz val="8"/>
            <color indexed="81"/>
            <rFont val="Tahoma"/>
            <family val="2"/>
          </rPr>
          <t>Traditional 95% confidence interval including only random error</t>
        </r>
      </text>
    </comment>
    <comment ref="I31" authorId="0" shapeId="0" xr:uid="{00000000-0006-0000-0200-000018000000}">
      <text>
        <r>
          <rPr>
            <b/>
            <sz val="8"/>
            <color indexed="81"/>
            <rFont val="Tahoma"/>
            <family val="2"/>
          </rPr>
          <t>Traditional 95% confidence interval including only random error</t>
        </r>
      </text>
    </comment>
    <comment ref="B32" authorId="0" shapeId="0" xr:uid="{00000000-0006-0000-0200-000019000000}">
      <text>
        <r>
          <rPr>
            <b/>
            <sz val="8"/>
            <color indexed="81"/>
            <rFont val="Tahoma"/>
            <family val="2"/>
          </rPr>
          <t>Simulation interval including only systematic error</t>
        </r>
        <r>
          <rPr>
            <sz val="8"/>
            <color indexed="81"/>
            <rFont val="Tahoma"/>
            <family val="2"/>
          </rPr>
          <t xml:space="preserve">
</t>
        </r>
      </text>
    </comment>
    <comment ref="I32" authorId="0" shapeId="0" xr:uid="{00000000-0006-0000-0200-00001A000000}">
      <text>
        <r>
          <rPr>
            <b/>
            <sz val="8"/>
            <color indexed="81"/>
            <rFont val="Tahoma"/>
            <family val="2"/>
          </rPr>
          <t>Simulation interval including only systematic error</t>
        </r>
        <r>
          <rPr>
            <sz val="8"/>
            <color indexed="81"/>
            <rFont val="Tahoma"/>
            <family val="2"/>
          </rPr>
          <t xml:space="preserve">
</t>
        </r>
      </text>
    </comment>
    <comment ref="B33" authorId="0" shapeId="0" xr:uid="{00000000-0006-0000-0200-00001B000000}">
      <text>
        <r>
          <rPr>
            <b/>
            <sz val="8"/>
            <color indexed="81"/>
            <rFont val="Tahoma"/>
            <family val="2"/>
          </rPr>
          <t xml:space="preserve">Simulation interval including both systematic and random error
</t>
        </r>
        <r>
          <rPr>
            <sz val="8"/>
            <color indexed="81"/>
            <rFont val="Tahoma"/>
            <family val="2"/>
          </rPr>
          <t xml:space="preserve">
</t>
        </r>
      </text>
    </comment>
    <comment ref="I33" authorId="0" shapeId="0" xr:uid="{00000000-0006-0000-0200-00001C000000}">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AC1" authorId="0" shapeId="0" xr:uid="{021E0E06-6612-F04F-A79A-B2AEB1B31F00}">
      <text>
        <r>
          <rPr>
            <b/>
            <sz val="8"/>
            <color rgb="FF000000"/>
            <rFont val="Tahoma"/>
            <family val="2"/>
          </rPr>
          <t>This is where the bias parameters for a single simulation are sampled</t>
        </r>
        <r>
          <rPr>
            <sz val="8"/>
            <color rgb="FF000000"/>
            <rFont val="Tahoma"/>
            <family val="2"/>
          </rPr>
          <t xml:space="preserve">
</t>
        </r>
      </text>
    </comment>
    <comment ref="AK2" authorId="0" shapeId="0" xr:uid="{24D0B079-B5D9-2C44-9CA9-5BC1F0CE6480}">
      <text>
        <r>
          <rPr>
            <b/>
            <sz val="8"/>
            <color indexed="81"/>
            <rFont val="Tahoma"/>
            <family val="2"/>
          </rPr>
          <t>This is where data for the graphs of the bias parameters is created</t>
        </r>
        <r>
          <rPr>
            <sz val="8"/>
            <color indexed="81"/>
            <rFont val="Tahoma"/>
            <family val="2"/>
          </rPr>
          <t xml:space="preserve">
</t>
        </r>
      </text>
    </comment>
    <comment ref="C10" authorId="0" shapeId="0" xr:uid="{745415F4-E323-C544-9E0B-40EBC4D27B6A}">
      <text>
        <r>
          <rPr>
            <b/>
            <sz val="8"/>
            <color indexed="81"/>
            <rFont val="Tahoma"/>
            <family val="2"/>
          </rPr>
          <t>Minimum value for distribution</t>
        </r>
      </text>
    </comment>
    <comment ref="E10" authorId="0" shapeId="0" xr:uid="{D074FA85-01EB-D349-B51B-62492FE5DB37}">
      <text>
        <r>
          <rPr>
            <b/>
            <sz val="8"/>
            <color rgb="FF000000"/>
            <rFont val="Tahoma"/>
            <family val="2"/>
          </rPr>
          <t>Lower mode value for distribution</t>
        </r>
        <r>
          <rPr>
            <sz val="8"/>
            <color rgb="FF000000"/>
            <rFont val="Tahoma"/>
            <family val="2"/>
          </rPr>
          <t xml:space="preserve">
</t>
        </r>
      </text>
    </comment>
    <comment ref="G10" authorId="0" shapeId="0" xr:uid="{F90CBA6A-E1C8-1446-A02A-9FCEC0DE2444}">
      <text>
        <r>
          <rPr>
            <b/>
            <sz val="8"/>
            <color rgb="FF000000"/>
            <rFont val="Tahoma"/>
            <family val="2"/>
          </rPr>
          <t>Upper mode value for distribution</t>
        </r>
        <r>
          <rPr>
            <sz val="8"/>
            <color rgb="FF000000"/>
            <rFont val="Tahoma"/>
            <family val="2"/>
          </rPr>
          <t xml:space="preserve">
</t>
        </r>
      </text>
    </comment>
    <comment ref="I10" authorId="0" shapeId="0" xr:uid="{768C1901-BC84-FF4B-AA7B-18ACFB8F86B6}">
      <text>
        <r>
          <rPr>
            <b/>
            <sz val="8"/>
            <color rgb="FF000000"/>
            <rFont val="Tahoma"/>
            <family val="2"/>
          </rPr>
          <t>Maximum value for distribution</t>
        </r>
        <r>
          <rPr>
            <sz val="8"/>
            <color rgb="FF000000"/>
            <rFont val="Tahoma"/>
            <family val="2"/>
          </rPr>
          <t xml:space="preserve">
</t>
        </r>
      </text>
    </comment>
    <comment ref="C12" authorId="0" shapeId="0" xr:uid="{A84522B6-A8A1-1E42-B2C5-AD6648E9F1D9}">
      <text>
        <r>
          <rPr>
            <b/>
            <sz val="8"/>
            <color rgb="FF000000"/>
            <rFont val="Tahoma"/>
            <family val="2"/>
          </rPr>
          <t>Input the number of simulations you would like to run</t>
        </r>
      </text>
    </comment>
    <comment ref="I13" authorId="0" shapeId="0" xr:uid="{21F36F17-AE4F-534F-A168-28372B0A201B}">
      <text>
        <r>
          <rPr>
            <b/>
            <sz val="8"/>
            <color rgb="FF000000"/>
            <rFont val="Tahoma"/>
            <family val="2"/>
          </rPr>
          <t>What is the exposure?</t>
        </r>
        <r>
          <rPr>
            <sz val="8"/>
            <color rgb="FF000000"/>
            <rFont val="Tahoma"/>
            <family val="2"/>
          </rPr>
          <t xml:space="preserve">
</t>
        </r>
      </text>
    </comment>
    <comment ref="C14" authorId="0" shapeId="0" xr:uid="{C822FA08-DA59-CE40-9802-5713FCCC9817}">
      <text>
        <r>
          <rPr>
            <b/>
            <sz val="8"/>
            <color indexed="81"/>
            <rFont val="Tahoma"/>
            <family val="2"/>
          </rPr>
          <t>What is the unknown or unmeasured confounder?</t>
        </r>
      </text>
    </comment>
    <comment ref="I14" authorId="0" shapeId="0" xr:uid="{AB1AB8B4-CF4A-8E4E-8A16-BA596F4B3D44}">
      <text>
        <r>
          <rPr>
            <b/>
            <sz val="8"/>
            <color indexed="81"/>
            <rFont val="Tahoma"/>
            <family val="2"/>
          </rPr>
          <t xml:space="preserve">What is the outcome?
</t>
        </r>
      </text>
    </comment>
    <comment ref="S20" authorId="0" shapeId="0" xr:uid="{01EAFC1A-80EF-F142-986D-0C3C13F1DC29}">
      <text>
        <r>
          <rPr>
            <b/>
            <sz val="8"/>
            <color rgb="FF000000"/>
            <rFont val="Tahoma"/>
            <family val="2"/>
          </rPr>
          <t>This is where the systematic error simulation data is stored</t>
        </r>
        <r>
          <rPr>
            <sz val="8"/>
            <color rgb="FF000000"/>
            <rFont val="Tahoma"/>
            <family val="2"/>
          </rPr>
          <t xml:space="preserve">
</t>
        </r>
      </text>
    </comment>
    <comment ref="U20" authorId="0" shapeId="0" xr:uid="{31179221-1FAA-0847-A09B-15AE8D30AA87}">
      <text>
        <r>
          <rPr>
            <b/>
            <sz val="8"/>
            <color rgb="FF000000"/>
            <rFont val="Tahoma"/>
            <family val="2"/>
          </rPr>
          <t>This is where the systematic and random error simulation data is stored</t>
        </r>
        <r>
          <rPr>
            <sz val="8"/>
            <color rgb="FF000000"/>
            <rFont val="Tahoma"/>
            <family val="2"/>
          </rPr>
          <t xml:space="preserve">
</t>
        </r>
      </text>
    </comment>
    <comment ref="W20" authorId="0" shapeId="0" xr:uid="{483993D3-B364-FB47-B02E-E55E7B35F46F}">
      <text>
        <r>
          <rPr>
            <b/>
            <sz val="8"/>
            <color indexed="81"/>
            <rFont val="Tahoma"/>
            <family val="2"/>
          </rPr>
          <t xml:space="preserve">This is where the sampled bias parameters are stored
</t>
        </r>
        <r>
          <rPr>
            <sz val="8"/>
            <color indexed="81"/>
            <rFont val="Tahoma"/>
            <family val="2"/>
          </rPr>
          <t xml:space="preserve">
</t>
        </r>
      </text>
    </comment>
    <comment ref="P33" authorId="0" shapeId="0" xr:uid="{3501C170-1B8B-BF4F-9AD5-569ABFEE90B4}">
      <text>
        <r>
          <rPr>
            <sz val="14"/>
            <color rgb="FF000000"/>
            <rFont val="Arial"/>
            <family val="2"/>
          </rPr>
          <t>Number of simulations that were discarded because of negative cells or 0 cells.</t>
        </r>
      </text>
    </comment>
    <comment ref="B35" authorId="0" shapeId="0" xr:uid="{549455F6-C0E3-6744-9910-927F53CDCF91}">
      <text>
        <r>
          <rPr>
            <b/>
            <sz val="8"/>
            <color rgb="FF000000"/>
            <rFont val="Tahoma"/>
            <family val="2"/>
          </rPr>
          <t>Traditional 95% confidence interval including only random error</t>
        </r>
      </text>
    </comment>
    <comment ref="I35" authorId="0" shapeId="0" xr:uid="{D8D144C6-BB99-B949-ADD4-D24D3517E65B}">
      <text>
        <r>
          <rPr>
            <b/>
            <sz val="8"/>
            <color indexed="81"/>
            <rFont val="Tahoma"/>
            <family val="2"/>
          </rPr>
          <t>Traditional 95% confidence interval including only random error</t>
        </r>
      </text>
    </comment>
    <comment ref="B36" authorId="0" shapeId="0" xr:uid="{B3A3AEAA-99D9-A240-AB92-DF07AB2A99C9}">
      <text>
        <r>
          <rPr>
            <b/>
            <sz val="8"/>
            <color indexed="81"/>
            <rFont val="Tahoma"/>
            <family val="2"/>
          </rPr>
          <t>Simulation interval including only systematic error</t>
        </r>
        <r>
          <rPr>
            <sz val="8"/>
            <color indexed="81"/>
            <rFont val="Tahoma"/>
            <family val="2"/>
          </rPr>
          <t xml:space="preserve">
</t>
        </r>
      </text>
    </comment>
    <comment ref="I36" authorId="0" shapeId="0" xr:uid="{2B95CDF6-D3ED-1141-965C-8234285E3201}">
      <text>
        <r>
          <rPr>
            <b/>
            <sz val="8"/>
            <color indexed="81"/>
            <rFont val="Tahoma"/>
            <family val="2"/>
          </rPr>
          <t>Simulation interval including only systematic error</t>
        </r>
        <r>
          <rPr>
            <sz val="8"/>
            <color indexed="81"/>
            <rFont val="Tahoma"/>
            <family val="2"/>
          </rPr>
          <t xml:space="preserve">
</t>
        </r>
      </text>
    </comment>
    <comment ref="B37" authorId="0" shapeId="0" xr:uid="{CE17EB16-09E8-1B43-A163-69BAFAE0E3A5}">
      <text>
        <r>
          <rPr>
            <b/>
            <sz val="8"/>
            <color indexed="81"/>
            <rFont val="Tahoma"/>
            <family val="2"/>
          </rPr>
          <t xml:space="preserve">Simulation interval including both systematic and random error
</t>
        </r>
        <r>
          <rPr>
            <sz val="8"/>
            <color indexed="81"/>
            <rFont val="Tahoma"/>
            <family val="2"/>
          </rPr>
          <t xml:space="preserve">
</t>
        </r>
      </text>
    </comment>
    <comment ref="I37" authorId="0" shapeId="0" xr:uid="{FC5706F0-5F6B-F34F-A72C-54A6054F6B72}">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Z1" authorId="0" shapeId="0" xr:uid="{30AD34A4-0EAB-5849-94AB-D52A03B6DDEB}">
      <text>
        <r>
          <rPr>
            <b/>
            <sz val="8"/>
            <color indexed="81"/>
            <rFont val="Tahoma"/>
            <family val="2"/>
          </rPr>
          <t>This is where the bias parameters for a single simulation are sampled</t>
        </r>
        <r>
          <rPr>
            <sz val="8"/>
            <color indexed="81"/>
            <rFont val="Tahoma"/>
            <family val="2"/>
          </rPr>
          <t xml:space="preserve">
</t>
        </r>
      </text>
    </comment>
    <comment ref="AK2" authorId="0" shapeId="0" xr:uid="{949AD992-5F0E-2140-949B-991FFCEEFE1D}">
      <text>
        <r>
          <rPr>
            <b/>
            <sz val="8"/>
            <color rgb="FF000000"/>
            <rFont val="Tahoma"/>
            <family val="2"/>
          </rPr>
          <t>This is where data for the graphs of the bias parameters is created</t>
        </r>
        <r>
          <rPr>
            <sz val="8"/>
            <color rgb="FF000000"/>
            <rFont val="Tahoma"/>
            <family val="2"/>
          </rPr>
          <t xml:space="preserve">
</t>
        </r>
      </text>
    </comment>
    <comment ref="I8" authorId="0" shapeId="0" xr:uid="{BC574D71-9880-374E-9FBE-FF4312C0380C}">
      <text>
        <r>
          <rPr>
            <b/>
            <sz val="8"/>
            <color rgb="FF000000"/>
            <rFont val="Tahoma"/>
            <family val="2"/>
          </rPr>
          <t>What is the exposure?</t>
        </r>
      </text>
    </comment>
    <comment ref="I9" authorId="0" shapeId="0" xr:uid="{D1EFDCBA-C7C2-8241-8331-5A4A983A78C2}">
      <text>
        <r>
          <rPr>
            <b/>
            <sz val="8"/>
            <color rgb="FF000000"/>
            <rFont val="Tahoma"/>
            <family val="2"/>
          </rPr>
          <t>What is the outcome?</t>
        </r>
      </text>
    </comment>
    <comment ref="K10" authorId="0" shapeId="0" xr:uid="{7591C2AF-9AC2-E04E-A9A9-5B21C9ACFA70}">
      <text>
        <r>
          <rPr>
            <b/>
            <sz val="8"/>
            <color rgb="FF000000"/>
            <rFont val="Tahoma"/>
            <family val="2"/>
          </rPr>
          <t>Enter the number of simulations</t>
        </r>
        <r>
          <rPr>
            <sz val="8"/>
            <color rgb="FF000000"/>
            <rFont val="Tahoma"/>
            <family val="2"/>
          </rPr>
          <t xml:space="preserve">
</t>
        </r>
      </text>
    </comment>
    <comment ref="U11" authorId="0" shapeId="0" xr:uid="{A81A095B-939D-A840-9BA1-597B32D83E6C}">
      <text>
        <r>
          <rPr>
            <b/>
            <sz val="8"/>
            <color rgb="FF000000"/>
            <rFont val="Tahoma"/>
            <family val="2"/>
          </rPr>
          <t>This is where the systematic error simulation data is stored</t>
        </r>
        <r>
          <rPr>
            <sz val="8"/>
            <color rgb="FF000000"/>
            <rFont val="Tahoma"/>
            <family val="2"/>
          </rPr>
          <t xml:space="preserve">
</t>
        </r>
      </text>
    </comment>
    <comment ref="W11" authorId="0" shapeId="0" xr:uid="{62677F33-38E3-224F-8121-1B889B4AD05A}">
      <text>
        <r>
          <rPr>
            <b/>
            <sz val="8"/>
            <color rgb="FF000000"/>
            <rFont val="Tahoma"/>
            <family val="2"/>
          </rPr>
          <t>This is where the systematic and random error simulation data is stored</t>
        </r>
        <r>
          <rPr>
            <sz val="8"/>
            <color rgb="FF000000"/>
            <rFont val="Tahoma"/>
            <family val="2"/>
          </rPr>
          <t xml:space="preserve">
</t>
        </r>
      </text>
    </comment>
    <comment ref="Y11" authorId="0" shapeId="0" xr:uid="{53BCC60C-9832-4C47-A726-AAFB84078985}">
      <text>
        <r>
          <rPr>
            <b/>
            <sz val="8"/>
            <color rgb="FF000000"/>
            <rFont val="Tahoma"/>
            <family val="2"/>
          </rPr>
          <t>This is where the sampled bias parameters are stored</t>
        </r>
        <r>
          <rPr>
            <sz val="8"/>
            <color rgb="FF000000"/>
            <rFont val="Tahoma"/>
            <family val="2"/>
          </rPr>
          <t xml:space="preserve">
</t>
        </r>
      </text>
    </comment>
    <comment ref="P31" authorId="0" shapeId="0" xr:uid="{2B54353B-636D-AD45-A7DC-1BF2D67E0B1D}">
      <text>
        <r>
          <rPr>
            <sz val="14"/>
            <color rgb="FF000000"/>
            <rFont val="Arial"/>
            <family val="2"/>
          </rPr>
          <t>Number of simulations that were discarded because of negative cells or 0 cells.</t>
        </r>
      </text>
    </comment>
    <comment ref="B33" authorId="0" shapeId="0" xr:uid="{FACE26FB-DEE9-5148-B7D3-37EAB5F3AEB8}">
      <text>
        <r>
          <rPr>
            <b/>
            <sz val="8"/>
            <color indexed="81"/>
            <rFont val="Tahoma"/>
            <family val="2"/>
          </rPr>
          <t>Traditional 95% confidence interval including only random error</t>
        </r>
      </text>
    </comment>
    <comment ref="I33" authorId="0" shapeId="0" xr:uid="{160D4BD0-BE70-CB49-A64B-4E0B051AC9E9}">
      <text>
        <r>
          <rPr>
            <b/>
            <sz val="8"/>
            <color indexed="81"/>
            <rFont val="Tahoma"/>
            <family val="2"/>
          </rPr>
          <t>Traditional 95% confidence interval including only random error</t>
        </r>
      </text>
    </comment>
    <comment ref="B34" authorId="0" shapeId="0" xr:uid="{1D75A514-D54E-D84E-A7BD-B758CBEECE07}">
      <text>
        <r>
          <rPr>
            <b/>
            <sz val="8"/>
            <color indexed="81"/>
            <rFont val="Tahoma"/>
            <family val="2"/>
          </rPr>
          <t>Simulation interval including only systematic error</t>
        </r>
        <r>
          <rPr>
            <sz val="8"/>
            <color indexed="81"/>
            <rFont val="Tahoma"/>
            <family val="2"/>
          </rPr>
          <t xml:space="preserve">
</t>
        </r>
      </text>
    </comment>
    <comment ref="I34" authorId="0" shapeId="0" xr:uid="{969CBF3E-C67C-D041-B57A-AC640779C6D5}">
      <text>
        <r>
          <rPr>
            <b/>
            <sz val="8"/>
            <color indexed="81"/>
            <rFont val="Tahoma"/>
            <family val="2"/>
          </rPr>
          <t>Simulation interval including only systematic error</t>
        </r>
        <r>
          <rPr>
            <sz val="8"/>
            <color indexed="81"/>
            <rFont val="Tahoma"/>
            <family val="2"/>
          </rPr>
          <t xml:space="preserve">
</t>
        </r>
      </text>
    </comment>
    <comment ref="B35" authorId="0" shapeId="0" xr:uid="{98204FE5-BBCE-F44B-B3CA-77AD8F8D85D2}">
      <text>
        <r>
          <rPr>
            <b/>
            <sz val="8"/>
            <color indexed="81"/>
            <rFont val="Tahoma"/>
            <family val="2"/>
          </rPr>
          <t xml:space="preserve">Simulation interval including both systematic and random error
</t>
        </r>
        <r>
          <rPr>
            <sz val="8"/>
            <color indexed="81"/>
            <rFont val="Tahoma"/>
            <family val="2"/>
          </rPr>
          <t xml:space="preserve">
</t>
        </r>
      </text>
    </comment>
    <comment ref="I35" authorId="0" shapeId="0" xr:uid="{1CB6E434-A7B1-1544-9029-5CB324D9F2C0}">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sharedStrings.xml><?xml version="1.0" encoding="utf-8"?>
<sst xmlns="http://schemas.openxmlformats.org/spreadsheetml/2006/main" count="547" uniqueCount="204">
  <si>
    <t>E+</t>
  </si>
  <si>
    <t>Total</t>
  </si>
  <si>
    <t>SE(LN(OR))</t>
  </si>
  <si>
    <t>SE(LN(RR))</t>
  </si>
  <si>
    <t>Measure (95% CI)</t>
  </si>
  <si>
    <t>Instructions</t>
  </si>
  <si>
    <t>Crude</t>
  </si>
  <si>
    <t>Input Bias Parameters</t>
  </si>
  <si>
    <t>add intro text from chapter</t>
  </si>
  <si>
    <t>Notes</t>
  </si>
  <si>
    <t>Exposure</t>
  </si>
  <si>
    <t>Outcome</t>
  </si>
  <si>
    <t>Confounder</t>
  </si>
  <si>
    <t>HIV</t>
  </si>
  <si>
    <t>Circ</t>
  </si>
  <si>
    <t>a</t>
  </si>
  <si>
    <t>c</t>
  </si>
  <si>
    <t>b</t>
  </si>
  <si>
    <t>d</t>
  </si>
  <si>
    <t>n</t>
  </si>
  <si>
    <t>m</t>
  </si>
  <si>
    <r>
      <t>A</t>
    </r>
    <r>
      <rPr>
        <b/>
        <vertAlign val="subscript"/>
        <sz val="8"/>
        <color indexed="23"/>
        <rFont val="Arial"/>
        <family val="2"/>
      </rPr>
      <t>1</t>
    </r>
  </si>
  <si>
    <r>
      <t>C</t>
    </r>
    <r>
      <rPr>
        <b/>
        <vertAlign val="subscript"/>
        <sz val="8"/>
        <color indexed="23"/>
        <rFont val="Arial"/>
        <family val="2"/>
      </rPr>
      <t>1</t>
    </r>
  </si>
  <si>
    <r>
      <t>M</t>
    </r>
    <r>
      <rPr>
        <b/>
        <vertAlign val="subscript"/>
        <sz val="8"/>
        <color indexed="23"/>
        <rFont val="Arial"/>
        <family val="2"/>
      </rPr>
      <t>1</t>
    </r>
  </si>
  <si>
    <r>
      <t>B</t>
    </r>
    <r>
      <rPr>
        <b/>
        <vertAlign val="subscript"/>
        <sz val="8"/>
        <color indexed="23"/>
        <rFont val="Arial"/>
        <family val="2"/>
      </rPr>
      <t>1</t>
    </r>
  </si>
  <si>
    <r>
      <t>D</t>
    </r>
    <r>
      <rPr>
        <b/>
        <vertAlign val="subscript"/>
        <sz val="8"/>
        <color indexed="23"/>
        <rFont val="Arial"/>
        <family val="2"/>
      </rPr>
      <t>1</t>
    </r>
  </si>
  <si>
    <r>
      <t>N</t>
    </r>
    <r>
      <rPr>
        <b/>
        <vertAlign val="subscript"/>
        <sz val="8"/>
        <color indexed="23"/>
        <rFont val="Arial"/>
        <family val="2"/>
      </rPr>
      <t>1</t>
    </r>
  </si>
  <si>
    <r>
      <t>A</t>
    </r>
    <r>
      <rPr>
        <b/>
        <vertAlign val="subscript"/>
        <sz val="8"/>
        <color indexed="23"/>
        <rFont val="Arial"/>
        <family val="2"/>
      </rPr>
      <t>0</t>
    </r>
  </si>
  <si>
    <r>
      <t>C</t>
    </r>
    <r>
      <rPr>
        <b/>
        <vertAlign val="subscript"/>
        <sz val="8"/>
        <color indexed="23"/>
        <rFont val="Arial"/>
        <family val="2"/>
      </rPr>
      <t>0</t>
    </r>
  </si>
  <si>
    <r>
      <t>M</t>
    </r>
    <r>
      <rPr>
        <b/>
        <vertAlign val="subscript"/>
        <sz val="8"/>
        <color indexed="23"/>
        <rFont val="Arial"/>
        <family val="2"/>
      </rPr>
      <t>0</t>
    </r>
  </si>
  <si>
    <r>
      <t>B</t>
    </r>
    <r>
      <rPr>
        <b/>
        <vertAlign val="subscript"/>
        <sz val="8"/>
        <color indexed="23"/>
        <rFont val="Arial"/>
        <family val="2"/>
      </rPr>
      <t>0</t>
    </r>
  </si>
  <si>
    <r>
      <t>D</t>
    </r>
    <r>
      <rPr>
        <b/>
        <vertAlign val="subscript"/>
        <sz val="8"/>
        <color indexed="23"/>
        <rFont val="Arial"/>
        <family val="2"/>
      </rPr>
      <t>0</t>
    </r>
  </si>
  <si>
    <r>
      <t>N</t>
    </r>
    <r>
      <rPr>
        <b/>
        <vertAlign val="subscript"/>
        <sz val="8"/>
        <color indexed="23"/>
        <rFont val="Arial"/>
        <family val="2"/>
      </rPr>
      <t>0</t>
    </r>
  </si>
  <si>
    <t>Variable Names</t>
  </si>
  <si>
    <t>Observed Data</t>
  </si>
  <si>
    <t>Observed</t>
  </si>
  <si>
    <t>Measure</t>
  </si>
  <si>
    <t>Min</t>
  </si>
  <si>
    <t>Mode</t>
  </si>
  <si>
    <t>Max</t>
  </si>
  <si>
    <t>Mode2</t>
  </si>
  <si>
    <t>RAND</t>
  </si>
  <si>
    <t>Chosen Param</t>
  </si>
  <si>
    <t>PARAM</t>
  </si>
  <si>
    <t>Misclassification type</t>
  </si>
  <si>
    <t>Fixed for ND</t>
  </si>
  <si>
    <t>Sims</t>
  </si>
  <si>
    <t>RR</t>
  </si>
  <si>
    <t>OR</t>
  </si>
  <si>
    <t>Se(D-)</t>
  </si>
  <si>
    <t>Se(D+)</t>
  </si>
  <si>
    <t>Sp(D+)</t>
  </si>
  <si>
    <t>Sp(D-)</t>
  </si>
  <si>
    <t>Chosen Bias Parameters</t>
  </si>
  <si>
    <t>Bins for Graphs</t>
  </si>
  <si>
    <t>Histogram</t>
  </si>
  <si>
    <t>Se(E+)</t>
  </si>
  <si>
    <t>Se(E-)</t>
  </si>
  <si>
    <t>Sp(E+)</t>
  </si>
  <si>
    <t>Sp(E-)</t>
  </si>
  <si>
    <r>
      <t>p</t>
    </r>
    <r>
      <rPr>
        <b/>
        <vertAlign val="subscript"/>
        <sz val="10"/>
        <rFont val="Arial"/>
        <family val="2"/>
      </rPr>
      <t>1</t>
    </r>
  </si>
  <si>
    <r>
      <t>p</t>
    </r>
    <r>
      <rPr>
        <b/>
        <vertAlign val="subscript"/>
        <sz val="10"/>
        <rFont val="Arial"/>
        <family val="2"/>
      </rPr>
      <t>0</t>
    </r>
  </si>
  <si>
    <r>
      <t>RR</t>
    </r>
    <r>
      <rPr>
        <b/>
        <vertAlign val="subscript"/>
        <sz val="10"/>
        <rFont val="Arial"/>
        <family val="2"/>
      </rPr>
      <t>DC</t>
    </r>
  </si>
  <si>
    <r>
      <t>RR</t>
    </r>
    <r>
      <rPr>
        <vertAlign val="subscript"/>
        <sz val="10"/>
        <color indexed="22"/>
        <rFont val="Arial"/>
        <family val="2"/>
      </rPr>
      <t>DC</t>
    </r>
  </si>
  <si>
    <t>Chosen Values</t>
  </si>
  <si>
    <t>Conventional</t>
  </si>
  <si>
    <t>Systematic</t>
  </si>
  <si>
    <t>Total Error</t>
  </si>
  <si>
    <t>Analysis</t>
  </si>
  <si>
    <r>
      <t>Median (2.5</t>
    </r>
    <r>
      <rPr>
        <b/>
        <vertAlign val="superscript"/>
        <sz val="10"/>
        <rFont val="Arial"/>
        <family val="2"/>
      </rPr>
      <t>th</t>
    </r>
    <r>
      <rPr>
        <b/>
        <sz val="10"/>
        <rFont val="Arial"/>
        <family val="2"/>
      </rPr>
      <t>-97.5</t>
    </r>
    <r>
      <rPr>
        <b/>
        <vertAlign val="superscript"/>
        <sz val="10"/>
        <rFont val="Arial"/>
        <family val="2"/>
      </rPr>
      <t>th</t>
    </r>
    <r>
      <rPr>
        <b/>
        <sz val="10"/>
        <rFont val="Arial"/>
        <family val="2"/>
      </rPr>
      <t xml:space="preserve"> percentile)</t>
    </r>
  </si>
  <si>
    <t>Syst Error</t>
  </si>
  <si>
    <t>Muslim</t>
  </si>
  <si>
    <t>D</t>
  </si>
  <si>
    <t xml:space="preserve">PROBABILISTIC OUTCOME MISCLASSIFICATION                                                                  </t>
  </si>
  <si>
    <t>Chapter 8</t>
  </si>
  <si>
    <t xml:space="preserve">PROBABILISTIC EXPOSURE MISCLASSIFICATION                                                                           </t>
  </si>
  <si>
    <t>BC</t>
  </si>
  <si>
    <t>Smoke</t>
  </si>
  <si>
    <t xml:space="preserve"> Chapter 8</t>
  </si>
  <si>
    <t>Mobile</t>
  </si>
  <si>
    <t>Melanoma</t>
  </si>
  <si>
    <t>Chosen values</t>
  </si>
  <si>
    <t>Error Check</t>
  </si>
  <si>
    <t>Exposure Misclassification</t>
  </si>
  <si>
    <t>Outcome Misclassification</t>
  </si>
  <si>
    <t>Selection Bias</t>
  </si>
  <si>
    <t>Notes:</t>
  </si>
  <si>
    <t>Developed by Matthew Fox, Aliza Fink, Timothy Lash 2007</t>
  </si>
  <si>
    <t xml:space="preserve">This Excel spreadsheet is based on the methods used in: </t>
  </si>
  <si>
    <t>No warranty is implied about the accuracy of the results</t>
  </si>
  <si>
    <t xml:space="preserve">Comments, questions or bugs, contact Matthew Fox:  </t>
  </si>
  <si>
    <t>mfox@bu.edu</t>
  </si>
  <si>
    <t>Additional copies along with SAS code for probabilistic sensitivity analysis can be downloaded at:</t>
  </si>
  <si>
    <t>RR rand</t>
  </si>
  <si>
    <t>OR rand</t>
  </si>
  <si>
    <t>Calculations</t>
  </si>
  <si>
    <t>Single Iteration</t>
  </si>
  <si>
    <t>Correlation</t>
  </si>
  <si>
    <t>http://sites.google.com/site/biasanalysis/</t>
  </si>
  <si>
    <t>Corr p</t>
  </si>
  <si>
    <t>Trapezoidal</t>
  </si>
  <si>
    <t>Beta</t>
  </si>
  <si>
    <t>alpha</t>
  </si>
  <si>
    <t>beta</t>
  </si>
  <si>
    <t>Alpha</t>
  </si>
  <si>
    <t>Pr</t>
  </si>
  <si>
    <t>Corr</t>
  </si>
  <si>
    <t>Uncontrolled Confounder</t>
  </si>
  <si>
    <t>Chapter 8, Version 2.01</t>
  </si>
  <si>
    <t xml:space="preserve">PROBABILISTIC BIAS ANALYSIS UNCONTROLLED CONFOUNDING                                              </t>
  </si>
  <si>
    <t xml:space="preserve">PROBABILISTIC BIAS ANALYSIS SELECTION BIAS                                                                   </t>
  </si>
  <si>
    <t>The spreadsheets included in this workbook can be use to conduct probabilistic bias analyses for different sources of bias</t>
  </si>
  <si>
    <t>Probabilistic Bias Analyses</t>
  </si>
  <si>
    <t xml:space="preserve">Adjust for </t>
  </si>
  <si>
    <t>Bounds on Bias Parameters</t>
  </si>
  <si>
    <t>Se1 minimum</t>
  </si>
  <si>
    <t>Se0 minimum</t>
  </si>
  <si>
    <t>Sp1 minimum</t>
  </si>
  <si>
    <t>Sp0 minimum</t>
  </si>
  <si>
    <t>A</t>
  </si>
  <si>
    <t>B</t>
  </si>
  <si>
    <t>C</t>
  </si>
  <si>
    <t>Simulated Pr(E|D=1)</t>
  </si>
  <si>
    <t>Simulated Pr(E|D=0)</t>
  </si>
  <si>
    <t>M</t>
  </si>
  <si>
    <t>N</t>
  </si>
  <si>
    <t>Simulated Pr(D|E=1)</t>
  </si>
  <si>
    <t>Simulated Pr(D|E=0)</t>
  </si>
  <si>
    <t>SE(LN(ORadj))</t>
  </si>
  <si>
    <t>Actual corr Se</t>
  </si>
  <si>
    <t>Actual corr Sp</t>
  </si>
  <si>
    <t>z1</t>
  </si>
  <si>
    <t>z2</t>
  </si>
  <si>
    <t>u1</t>
  </si>
  <si>
    <t>u2</t>
  </si>
  <si>
    <t>Actual corr p</t>
  </si>
  <si>
    <t>Negative or 0 cell</t>
  </si>
  <si>
    <t>RR(adjusted)</t>
  </si>
  <si>
    <t>OR(adjusted)</t>
  </si>
  <si>
    <t>SE(LN(RR Adjusted))</t>
  </si>
  <si>
    <t>SE(LN(OR Adjusted))</t>
  </si>
  <si>
    <t>Correlations</t>
  </si>
  <si>
    <t>Revised by</t>
  </si>
  <si>
    <t>Matthew Fox, Richard MacLehose, Timothy Lash 2021</t>
  </si>
  <si>
    <t>RR rand adj</t>
  </si>
  <si>
    <t>Missing Data</t>
  </si>
  <si>
    <t>S1,1</t>
  </si>
  <si>
    <t>S1,0</t>
  </si>
  <si>
    <t>S0,1</t>
  </si>
  <si>
    <t>S0,0</t>
  </si>
  <si>
    <t>Error</t>
  </si>
  <si>
    <t>Variable names</t>
  </si>
  <si>
    <t>Chosen Parm</t>
  </si>
  <si>
    <t>Orsel</t>
  </si>
  <si>
    <t>Prop</t>
  </si>
  <si>
    <t>SMR(RR)</t>
  </si>
  <si>
    <t>SE(LN(RR SMRadj))</t>
  </si>
  <si>
    <t>SE(LN(RR MHadj))</t>
  </si>
  <si>
    <t>SE(LN(OR MHadj))</t>
  </si>
  <si>
    <t>H</t>
  </si>
  <si>
    <t>P</t>
  </si>
  <si>
    <t>G</t>
  </si>
  <si>
    <t>Q</t>
  </si>
  <si>
    <t>std err</t>
  </si>
  <si>
    <t>MH OR Var</t>
  </si>
  <si>
    <t>SMR(OR)</t>
  </si>
  <si>
    <t>Fox MP, MacLehose R, Lash TL. Applying Quantitative Bias Analysis to Epidemiologic Data. Springer. 2021.</t>
  </si>
  <si>
    <t>Single Simulated Bias-adjusted Data</t>
  </si>
  <si>
    <t>Bias-adjusted Data</t>
  </si>
  <si>
    <t>Single Bias-adjusted Estimate</t>
  </si>
  <si>
    <t>Simple Bias-adjusted data</t>
  </si>
  <si>
    <t>Bias-adjusted 
Selection Proportions</t>
  </si>
  <si>
    <t>Bias-Adjusted</t>
  </si>
  <si>
    <t>MH(RR)</t>
  </si>
  <si>
    <t>MH(OR)</t>
  </si>
  <si>
    <r>
      <t>MH</t>
    </r>
    <r>
      <rPr>
        <vertAlign val="subscript"/>
        <sz val="10"/>
        <color indexed="22"/>
        <rFont val="Arial"/>
        <family val="2"/>
      </rPr>
      <t>RR</t>
    </r>
  </si>
  <si>
    <r>
      <t>MH</t>
    </r>
    <r>
      <rPr>
        <vertAlign val="subscript"/>
        <sz val="10"/>
        <color indexed="22"/>
        <rFont val="Arial"/>
        <family val="2"/>
      </rPr>
      <t>OR</t>
    </r>
  </si>
  <si>
    <t>MH Adjusted Measures</t>
  </si>
  <si>
    <t>Pr(E|D=1)</t>
  </si>
  <si>
    <t>Pr(E|D=0)</t>
  </si>
  <si>
    <t>Pr(D|E=1)</t>
  </si>
  <si>
    <t>Pr(D|E=0)</t>
  </si>
  <si>
    <t>Iterations with cell frequencies ≤ 0</t>
  </si>
  <si>
    <t>PPV(E+)</t>
  </si>
  <si>
    <t>PPV(E-)</t>
  </si>
  <si>
    <t>NPV(E+)</t>
  </si>
  <si>
    <t>NPV(E-)</t>
  </si>
  <si>
    <t>PPV(D+)</t>
  </si>
  <si>
    <t>PPV(D-)</t>
  </si>
  <si>
    <t>NPV(D+)</t>
  </si>
  <si>
    <t>NPV(D-)</t>
  </si>
  <si>
    <t>Label</t>
  </si>
  <si>
    <t>Estimate</t>
  </si>
  <si>
    <t>Lower</t>
  </si>
  <si>
    <t>Upper</t>
  </si>
  <si>
    <t>lower_bar</t>
  </si>
  <si>
    <t>upper_bar</t>
  </si>
  <si>
    <t>Y-axis position for estimate</t>
  </si>
  <si>
    <t>Effect Label</t>
  </si>
  <si>
    <t>Random Error</t>
  </si>
  <si>
    <t>Systemtic Error</t>
  </si>
  <si>
    <t>Note: You can reformat the range of the X axis to show the forest plots better</t>
  </si>
  <si>
    <t>ND</t>
  </si>
  <si>
    <t>DIFF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</si>
</sst>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
    <numFmt numFmtId="165" formatCode="0.000000"/>
    <numFmt numFmtId="166" formatCode="0.00000"/>
    <numFmt numFmtId="167" formatCode="0.0000"/>
    <numFmt numFmtId="168" formatCode="0.000"/>
    <numFmt numFmtId="169" formatCode="0.0%"/>
    <numFmt numFmtId="170" formatCode="_(* #,##0.0_);_(* \(#,##0.0\);_(* &quot;-&quot;??_);_(@_)"/>
    <numFmt numFmtId="171" formatCode="_(* #,##0_);_(* \(#,##0\);_(* &quot;-&quot;??_);_(@_)"/>
  </numFmts>
  <fonts count="38">
    <font>
      <sz val="10"/>
      <name val="Arial"/>
    </font>
    <font>
      <sz val="10"/>
      <name val="Arial"/>
      <family val="2"/>
    </font>
    <font>
      <u/>
      <sz val="10"/>
      <color indexed="12"/>
      <name val="Arial"/>
      <family val="2"/>
    </font>
    <font>
      <sz val="8"/>
      <name val="Arial"/>
      <family val="2"/>
    </font>
    <font>
      <b/>
      <sz val="10"/>
      <name val="Arial"/>
      <family val="2"/>
    </font>
    <font>
      <sz val="10"/>
      <name val="Arial"/>
      <family val="2"/>
    </font>
    <font>
      <sz val="8"/>
      <color indexed="81"/>
      <name val="Tahoma"/>
      <family val="2"/>
    </font>
    <font>
      <b/>
      <sz val="8"/>
      <color indexed="81"/>
      <name val="Tahoma"/>
      <family val="2"/>
    </font>
    <font>
      <b/>
      <vertAlign val="subscript"/>
      <sz val="10"/>
      <name val="Arial"/>
      <family val="2"/>
    </font>
    <font>
      <sz val="10"/>
      <color indexed="9"/>
      <name val="Arial"/>
      <family val="2"/>
    </font>
    <font>
      <b/>
      <sz val="10"/>
      <color indexed="9"/>
      <name val="Arial"/>
      <family val="2"/>
    </font>
    <font>
      <b/>
      <sz val="8"/>
      <color indexed="9"/>
      <name val="Arial"/>
      <family val="2"/>
    </font>
    <font>
      <b/>
      <sz val="8"/>
      <name val="Arial"/>
      <family val="2"/>
    </font>
    <font>
      <b/>
      <sz val="8"/>
      <color indexed="23"/>
      <name val="Arial"/>
      <family val="2"/>
    </font>
    <font>
      <b/>
      <vertAlign val="subscript"/>
      <sz val="8"/>
      <color indexed="23"/>
      <name val="Arial"/>
      <family val="2"/>
    </font>
    <font>
      <i/>
      <sz val="10"/>
      <name val="Arial"/>
      <family val="2"/>
    </font>
    <font>
      <sz val="10"/>
      <color indexed="9"/>
      <name val="Arial"/>
      <family val="2"/>
    </font>
    <font>
      <sz val="10"/>
      <color indexed="22"/>
      <name val="Arial"/>
      <family val="2"/>
    </font>
    <font>
      <vertAlign val="subscript"/>
      <sz val="10"/>
      <color indexed="22"/>
      <name val="Arial"/>
      <family val="2"/>
    </font>
    <font>
      <b/>
      <vertAlign val="superscript"/>
      <sz val="10"/>
      <name val="Arial"/>
      <family val="2"/>
    </font>
    <font>
      <sz val="10"/>
      <color indexed="63"/>
      <name val="Arial"/>
      <family val="2"/>
    </font>
    <font>
      <b/>
      <sz val="10"/>
      <color indexed="63"/>
      <name val="Arial"/>
      <family val="2"/>
    </font>
    <font>
      <u/>
      <sz val="10"/>
      <color indexed="12"/>
      <name val="MS Sans Serif"/>
      <family val="2"/>
    </font>
    <font>
      <sz val="12"/>
      <name val="Arial"/>
      <family val="2"/>
    </font>
    <font>
      <b/>
      <sz val="10"/>
      <color indexed="22"/>
      <name val="Arial"/>
      <family val="2"/>
    </font>
    <font>
      <sz val="10"/>
      <color indexed="12"/>
      <name val="Arial"/>
      <family val="2"/>
    </font>
    <font>
      <sz val="10"/>
      <name val="Arial"/>
      <family val="2"/>
    </font>
    <font>
      <b/>
      <sz val="8"/>
      <color indexed="8"/>
      <name val="Tahoma"/>
      <family val="2"/>
    </font>
    <font>
      <sz val="8"/>
      <color indexed="8"/>
      <name val="Tahoma"/>
      <family val="2"/>
    </font>
    <font>
      <sz val="10"/>
      <color rgb="FF000000"/>
      <name val="Arial"/>
      <family val="2"/>
    </font>
    <font>
      <sz val="8"/>
      <color rgb="FF000000"/>
      <name val="Tahoma"/>
      <family val="2"/>
    </font>
    <font>
      <b/>
      <sz val="8"/>
      <color rgb="FF000000"/>
      <name val="Tahoma"/>
      <family val="2"/>
    </font>
    <font>
      <sz val="10"/>
      <color theme="1"/>
      <name val="Arial"/>
      <family val="2"/>
    </font>
    <font>
      <sz val="11"/>
      <color rgb="FF060087"/>
      <name val="Monaco"/>
      <family val="2"/>
    </font>
    <font>
      <sz val="12"/>
      <color rgb="FF000000"/>
      <name val="Arial"/>
      <family val="2"/>
    </font>
    <font>
      <sz val="14"/>
      <color rgb="FF000000"/>
      <name val="Arial"/>
      <family val="2"/>
    </font>
    <font>
      <b/>
      <sz val="11"/>
      <color theme="0" tint="-0.14999847407452621"/>
      <name val="Calibri"/>
      <family val="2"/>
      <scheme val="minor"/>
    </font>
    <font>
      <sz val="10"/>
      <color theme="0" tint="-0.14999847407452621"/>
      <name val="Arial"/>
      <family val="2"/>
    </font>
  </fonts>
  <fills count="8">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43"/>
        <bgColor indexed="64"/>
      </patternFill>
    </fill>
    <fill>
      <patternFill patternType="solid">
        <fgColor indexed="8"/>
        <bgColor indexed="64"/>
      </patternFill>
    </fill>
    <fill>
      <patternFill patternType="solid">
        <fgColor theme="0"/>
        <bgColor indexed="64"/>
      </patternFill>
    </fill>
  </fills>
  <borders count="33">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double">
        <color indexed="64"/>
      </top>
      <bottom/>
      <diagonal/>
    </border>
    <border>
      <left/>
      <right/>
      <top style="double">
        <color indexed="64"/>
      </top>
      <bottom/>
      <diagonal/>
    </border>
    <border>
      <left/>
      <right style="medium">
        <color indexed="64"/>
      </right>
      <top style="double">
        <color indexed="64"/>
      </top>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8">
    <xf numFmtId="0" fontId="0" fillId="0" borderId="0"/>
    <xf numFmtId="43" fontId="1" fillId="0" borderId="0" applyFont="0" applyFill="0" applyBorder="0" applyAlignment="0" applyProtection="0"/>
    <xf numFmtId="43" fontId="26" fillId="0" borderId="0" applyFont="0" applyFill="0" applyBorder="0" applyAlignment="0" applyProtection="0"/>
    <xf numFmtId="0" fontId="2" fillId="0" borderId="0" applyNumberFormat="0" applyFill="0" applyBorder="0" applyAlignment="0" applyProtection="0">
      <alignment vertical="top"/>
      <protection locked="0"/>
    </xf>
    <xf numFmtId="9" fontId="1" fillId="0" borderId="0" applyFont="0" applyFill="0" applyBorder="0" applyAlignment="0" applyProtection="0"/>
    <xf numFmtId="9" fontId="26" fillId="0" borderId="0" applyFont="0" applyFill="0" applyBorder="0" applyAlignment="0" applyProtection="0"/>
    <xf numFmtId="0" fontId="1" fillId="0" borderId="0"/>
    <xf numFmtId="9" fontId="1" fillId="0" borderId="0" applyFont="0" applyFill="0" applyBorder="0" applyAlignment="0" applyProtection="0"/>
  </cellStyleXfs>
  <cellXfs count="370">
    <xf numFmtId="0" fontId="0" fillId="0" borderId="0" xfId="0"/>
    <xf numFmtId="0" fontId="4" fillId="2" borderId="0" xfId="0" applyFont="1" applyFill="1"/>
    <xf numFmtId="0" fontId="5" fillId="2" borderId="0" xfId="0" applyFont="1" applyFill="1"/>
    <xf numFmtId="2" fontId="5" fillId="2" borderId="0" xfId="0" applyNumberFormat="1" applyFont="1" applyFill="1"/>
    <xf numFmtId="0" fontId="5" fillId="2" borderId="0" xfId="0" applyFont="1" applyFill="1" applyAlignment="1">
      <alignment horizontal="center"/>
    </xf>
    <xf numFmtId="0" fontId="5" fillId="2" borderId="0" xfId="0" applyFont="1" applyFill="1" applyAlignment="1">
      <alignment horizontal="justify" wrapText="1"/>
    </xf>
    <xf numFmtId="0" fontId="5" fillId="2" borderId="0" xfId="0" applyFont="1" applyFill="1" applyAlignment="1">
      <alignment horizontal="center" wrapText="1"/>
    </xf>
    <xf numFmtId="0" fontId="4" fillId="2" borderId="1" xfId="0" applyFont="1" applyFill="1" applyBorder="1" applyAlignment="1">
      <alignment horizontal="center" wrapText="1"/>
    </xf>
    <xf numFmtId="0" fontId="5" fillId="2" borderId="1" xfId="0" applyFont="1" applyFill="1" applyBorder="1" applyAlignment="1">
      <alignment horizontal="center" wrapText="1"/>
    </xf>
    <xf numFmtId="0" fontId="4" fillId="2" borderId="2" xfId="0" applyFont="1" applyFill="1" applyBorder="1"/>
    <xf numFmtId="0" fontId="5" fillId="2" borderId="2" xfId="0" applyFont="1" applyFill="1" applyBorder="1"/>
    <xf numFmtId="0" fontId="9" fillId="2" borderId="2" xfId="0" applyFont="1" applyFill="1" applyBorder="1"/>
    <xf numFmtId="0" fontId="11" fillId="3" borderId="3" xfId="0" applyFont="1" applyFill="1" applyBorder="1" applyAlignment="1">
      <alignment horizontal="center" wrapText="1"/>
    </xf>
    <xf numFmtId="0" fontId="12" fillId="3" borderId="3" xfId="0" applyFont="1" applyFill="1" applyBorder="1" applyAlignment="1">
      <alignment horizontal="center" wrapText="1"/>
    </xf>
    <xf numFmtId="0" fontId="11" fillId="3" borderId="4" xfId="0" applyFont="1" applyFill="1" applyBorder="1" applyAlignment="1">
      <alignment horizontal="center" wrapText="1"/>
    </xf>
    <xf numFmtId="0" fontId="12" fillId="3" borderId="5" xfId="0" applyFont="1" applyFill="1" applyBorder="1" applyAlignment="1">
      <alignment horizontal="center" wrapText="1"/>
    </xf>
    <xf numFmtId="0" fontId="13" fillId="2" borderId="3" xfId="0" applyFont="1" applyFill="1" applyBorder="1" applyAlignment="1">
      <alignment horizontal="center" wrapText="1"/>
    </xf>
    <xf numFmtId="0" fontId="13" fillId="2" borderId="4" xfId="0" applyFont="1" applyFill="1" applyBorder="1" applyAlignment="1">
      <alignment horizontal="center" wrapText="1"/>
    </xf>
    <xf numFmtId="0" fontId="13" fillId="2" borderId="5" xfId="0" applyFont="1" applyFill="1" applyBorder="1" applyAlignment="1">
      <alignment horizontal="center" wrapText="1"/>
    </xf>
    <xf numFmtId="0" fontId="15" fillId="2" borderId="0" xfId="0" applyFont="1" applyFill="1"/>
    <xf numFmtId="0" fontId="9" fillId="2" borderId="0" xfId="0" applyFont="1" applyFill="1"/>
    <xf numFmtId="0" fontId="4" fillId="3" borderId="6" xfId="0" applyFont="1" applyFill="1" applyBorder="1"/>
    <xf numFmtId="0" fontId="5" fillId="2" borderId="0" xfId="0" applyFont="1" applyFill="1" applyAlignment="1">
      <alignment vertical="top" wrapText="1"/>
    </xf>
    <xf numFmtId="0" fontId="5" fillId="2" borderId="0" xfId="0" applyFont="1" applyFill="1" applyAlignment="1">
      <alignment wrapText="1"/>
    </xf>
    <xf numFmtId="0" fontId="4" fillId="2" borderId="0" xfId="0" applyFont="1" applyFill="1" applyAlignment="1">
      <alignment horizontal="left"/>
    </xf>
    <xf numFmtId="0" fontId="5" fillId="3" borderId="7" xfId="0" applyFont="1" applyFill="1" applyBorder="1" applyProtection="1">
      <protection locked="0"/>
    </xf>
    <xf numFmtId="2" fontId="5" fillId="3" borderId="8" xfId="0" applyNumberFormat="1" applyFont="1" applyFill="1" applyBorder="1"/>
    <xf numFmtId="0" fontId="9" fillId="2" borderId="0" xfId="0" applyFont="1" applyFill="1" applyProtection="1">
      <protection locked="0"/>
    </xf>
    <xf numFmtId="43" fontId="5" fillId="2" borderId="0" xfId="1" applyFont="1" applyFill="1"/>
    <xf numFmtId="0" fontId="4" fillId="2" borderId="9" xfId="0" applyFont="1" applyFill="1" applyBorder="1" applyAlignment="1">
      <alignment horizontal="center" wrapText="1"/>
    </xf>
    <xf numFmtId="0" fontId="4" fillId="2" borderId="2" xfId="0" applyFont="1" applyFill="1" applyBorder="1" applyAlignment="1">
      <alignment horizontal="center"/>
    </xf>
    <xf numFmtId="0" fontId="4" fillId="2" borderId="0" xfId="0" applyFont="1" applyFill="1" applyAlignment="1">
      <alignment horizontal="center"/>
    </xf>
    <xf numFmtId="0" fontId="10" fillId="2" borderId="0" xfId="0" applyFont="1" applyFill="1" applyAlignment="1">
      <alignment horizontal="center"/>
    </xf>
    <xf numFmtId="0" fontId="5" fillId="2" borderId="0" xfId="0" applyFont="1" applyFill="1" applyAlignment="1">
      <alignment horizontal="center" vertical="top" wrapText="1"/>
    </xf>
    <xf numFmtId="2" fontId="5" fillId="2" borderId="2" xfId="0" applyNumberFormat="1" applyFont="1" applyFill="1" applyBorder="1"/>
    <xf numFmtId="0" fontId="4" fillId="4" borderId="6" xfId="0" applyFont="1" applyFill="1" applyBorder="1"/>
    <xf numFmtId="0" fontId="5" fillId="4" borderId="6" xfId="0" applyFont="1" applyFill="1" applyBorder="1"/>
    <xf numFmtId="0" fontId="4" fillId="5" borderId="6" xfId="0" applyFont="1" applyFill="1" applyBorder="1"/>
    <xf numFmtId="0" fontId="5" fillId="5" borderId="6" xfId="0" applyFont="1" applyFill="1" applyBorder="1"/>
    <xf numFmtId="0" fontId="4" fillId="2" borderId="10" xfId="0" applyFont="1" applyFill="1" applyBorder="1" applyAlignment="1">
      <alignment horizontal="center" wrapText="1"/>
    </xf>
    <xf numFmtId="0" fontId="5" fillId="2" borderId="10" xfId="0" applyFont="1" applyFill="1" applyBorder="1"/>
    <xf numFmtId="0" fontId="4" fillId="2" borderId="9" xfId="0" applyFont="1" applyFill="1" applyBorder="1"/>
    <xf numFmtId="0" fontId="16" fillId="2" borderId="0" xfId="0" applyFont="1" applyFill="1"/>
    <xf numFmtId="2" fontId="5" fillId="2" borderId="0" xfId="0" applyNumberFormat="1" applyFont="1" applyFill="1" applyAlignment="1">
      <alignment horizontal="center"/>
    </xf>
    <xf numFmtId="0" fontId="4" fillId="2" borderId="0" xfId="0" applyFont="1" applyFill="1" applyAlignment="1">
      <alignment horizontal="center" vertical="center" wrapText="1"/>
    </xf>
    <xf numFmtId="0" fontId="4" fillId="2" borderId="0" xfId="0" applyFont="1" applyFill="1" applyAlignment="1">
      <alignment horizontal="center" wrapText="1"/>
    </xf>
    <xf numFmtId="2" fontId="4" fillId="2" borderId="0" xfId="0" applyNumberFormat="1" applyFont="1" applyFill="1"/>
    <xf numFmtId="2" fontId="5" fillId="3" borderId="7" xfId="0" applyNumberFormat="1" applyFont="1" applyFill="1" applyBorder="1"/>
    <xf numFmtId="0" fontId="5" fillId="2" borderId="2" xfId="0" applyFont="1" applyFill="1" applyBorder="1" applyAlignment="1">
      <alignment vertical="top" wrapText="1"/>
    </xf>
    <xf numFmtId="0" fontId="5" fillId="3" borderId="11" xfId="0" applyFont="1" applyFill="1" applyBorder="1" applyProtection="1">
      <protection locked="0"/>
    </xf>
    <xf numFmtId="0" fontId="17" fillId="2" borderId="0" xfId="0" applyFont="1" applyFill="1"/>
    <xf numFmtId="0" fontId="17" fillId="2" borderId="6" xfId="0" applyFont="1" applyFill="1" applyBorder="1" applyAlignment="1">
      <alignment horizontal="center"/>
    </xf>
    <xf numFmtId="0" fontId="17" fillId="2" borderId="0" xfId="0" applyFont="1" applyFill="1" applyAlignment="1" applyProtection="1">
      <alignment horizontal="center"/>
      <protection locked="0"/>
    </xf>
    <xf numFmtId="0" fontId="17" fillId="2" borderId="0" xfId="0" applyFont="1" applyFill="1" applyAlignment="1">
      <alignment horizontal="center"/>
    </xf>
    <xf numFmtId="1" fontId="5" fillId="3" borderId="8" xfId="0" applyNumberFormat="1" applyFont="1" applyFill="1" applyBorder="1"/>
    <xf numFmtId="0" fontId="5" fillId="2" borderId="1" xfId="0" applyFont="1" applyFill="1" applyBorder="1"/>
    <xf numFmtId="169" fontId="16" fillId="2" borderId="0" xfId="4" applyNumberFormat="1" applyFont="1" applyFill="1"/>
    <xf numFmtId="0" fontId="17" fillId="2" borderId="6" xfId="0" applyFont="1" applyFill="1" applyBorder="1"/>
    <xf numFmtId="0" fontId="17" fillId="2" borderId="0" xfId="0" applyFont="1" applyFill="1" applyAlignment="1">
      <alignment vertical="top" wrapText="1"/>
    </xf>
    <xf numFmtId="2" fontId="5" fillId="2" borderId="2" xfId="0" applyNumberFormat="1" applyFont="1" applyFill="1" applyBorder="1" applyAlignment="1">
      <alignment horizontal="center"/>
    </xf>
    <xf numFmtId="166" fontId="17" fillId="2" borderId="0" xfId="0" applyNumberFormat="1" applyFont="1" applyFill="1"/>
    <xf numFmtId="0" fontId="10" fillId="2" borderId="0" xfId="0" applyFont="1" applyFill="1" applyProtection="1">
      <protection locked="0"/>
    </xf>
    <xf numFmtId="2" fontId="9" fillId="2" borderId="0" xfId="0" applyNumberFormat="1" applyFont="1" applyFill="1"/>
    <xf numFmtId="1" fontId="9" fillId="2" borderId="0" xfId="0" applyNumberFormat="1" applyFont="1" applyFill="1"/>
    <xf numFmtId="166" fontId="9" fillId="2" borderId="0" xfId="0" applyNumberFormat="1" applyFont="1" applyFill="1"/>
    <xf numFmtId="168" fontId="5" fillId="2" borderId="0" xfId="0" applyNumberFormat="1" applyFont="1" applyFill="1" applyAlignment="1">
      <alignment horizontal="center"/>
    </xf>
    <xf numFmtId="168" fontId="5" fillId="2" borderId="2" xfId="0" applyNumberFormat="1" applyFont="1" applyFill="1" applyBorder="1" applyAlignment="1">
      <alignment horizontal="center"/>
    </xf>
    <xf numFmtId="169" fontId="5" fillId="2" borderId="0" xfId="4" applyNumberFormat="1" applyFont="1" applyFill="1" applyBorder="1"/>
    <xf numFmtId="0" fontId="17" fillId="2" borderId="2" xfId="0" applyFont="1" applyFill="1" applyBorder="1"/>
    <xf numFmtId="2" fontId="9" fillId="2" borderId="0" xfId="0" applyNumberFormat="1" applyFont="1" applyFill="1" applyAlignment="1">
      <alignment horizontal="center"/>
    </xf>
    <xf numFmtId="166" fontId="9" fillId="2" borderId="0" xfId="0" applyNumberFormat="1" applyFont="1" applyFill="1" applyAlignment="1">
      <alignment horizontal="center"/>
    </xf>
    <xf numFmtId="0" fontId="4" fillId="2" borderId="12" xfId="0" applyFont="1" applyFill="1" applyBorder="1"/>
    <xf numFmtId="0" fontId="4" fillId="2" borderId="13" xfId="0" applyFont="1" applyFill="1" applyBorder="1"/>
    <xf numFmtId="0" fontId="4" fillId="2" borderId="13" xfId="0" applyFont="1" applyFill="1" applyBorder="1" applyAlignment="1">
      <alignment horizontal="right"/>
    </xf>
    <xf numFmtId="168" fontId="17" fillId="2" borderId="0" xfId="0" applyNumberFormat="1" applyFont="1" applyFill="1"/>
    <xf numFmtId="14" fontId="5" fillId="2" borderId="0" xfId="0" applyNumberFormat="1" applyFont="1" applyFill="1"/>
    <xf numFmtId="0" fontId="5" fillId="2" borderId="8" xfId="0" applyFont="1" applyFill="1" applyBorder="1"/>
    <xf numFmtId="0" fontId="10" fillId="6" borderId="14" xfId="0" applyFont="1" applyFill="1" applyBorder="1"/>
    <xf numFmtId="0" fontId="10" fillId="6" borderId="15" xfId="0" applyFont="1" applyFill="1" applyBorder="1"/>
    <xf numFmtId="0" fontId="10" fillId="6" borderId="16" xfId="0" applyFont="1" applyFill="1" applyBorder="1" applyAlignment="1">
      <alignment horizontal="right"/>
    </xf>
    <xf numFmtId="0" fontId="5" fillId="4" borderId="0" xfId="0" applyFont="1" applyFill="1" applyAlignment="1">
      <alignment horizontal="left" vertical="top" wrapText="1"/>
    </xf>
    <xf numFmtId="0" fontId="5" fillId="4" borderId="17" xfId="0" applyFont="1" applyFill="1" applyBorder="1" applyAlignment="1">
      <alignment horizontal="left" vertical="top" wrapText="1"/>
    </xf>
    <xf numFmtId="0" fontId="0" fillId="2" borderId="0" xfId="0" applyFill="1"/>
    <xf numFmtId="0" fontId="4" fillId="4" borderId="18" xfId="0" applyFont="1" applyFill="1" applyBorder="1"/>
    <xf numFmtId="0" fontId="4" fillId="4" borderId="0" xfId="0" applyFont="1" applyFill="1"/>
    <xf numFmtId="0" fontId="5" fillId="4" borderId="0" xfId="0" applyFont="1" applyFill="1"/>
    <xf numFmtId="0" fontId="5" fillId="4" borderId="17" xfId="0" applyFont="1" applyFill="1" applyBorder="1"/>
    <xf numFmtId="0" fontId="2" fillId="4" borderId="18" xfId="3" applyFill="1" applyBorder="1" applyAlignment="1" applyProtection="1"/>
    <xf numFmtId="0" fontId="5" fillId="4" borderId="18" xfId="0" applyFont="1" applyFill="1" applyBorder="1"/>
    <xf numFmtId="0" fontId="2" fillId="4" borderId="19" xfId="3" applyFill="1" applyBorder="1" applyAlignment="1" applyProtection="1"/>
    <xf numFmtId="0" fontId="2" fillId="4" borderId="20" xfId="3" applyFill="1" applyBorder="1" applyAlignment="1" applyProtection="1"/>
    <xf numFmtId="0" fontId="5" fillId="4" borderId="20" xfId="0" applyFont="1" applyFill="1" applyBorder="1"/>
    <xf numFmtId="0" fontId="5" fillId="4" borderId="21" xfId="0" applyFont="1" applyFill="1" applyBorder="1"/>
    <xf numFmtId="0" fontId="9" fillId="6" borderId="15" xfId="0" applyFont="1" applyFill="1" applyBorder="1"/>
    <xf numFmtId="0" fontId="9" fillId="6" borderId="16" xfId="0" applyFont="1" applyFill="1" applyBorder="1"/>
    <xf numFmtId="0" fontId="1" fillId="3" borderId="18" xfId="0" applyFont="1" applyFill="1" applyBorder="1"/>
    <xf numFmtId="0" fontId="1" fillId="3" borderId="0" xfId="0" applyFont="1" applyFill="1"/>
    <xf numFmtId="0" fontId="5" fillId="3" borderId="0" xfId="0" applyFont="1" applyFill="1"/>
    <xf numFmtId="0" fontId="5" fillId="3" borderId="17" xfId="0" applyFont="1" applyFill="1" applyBorder="1"/>
    <xf numFmtId="0" fontId="5" fillId="3" borderId="18" xfId="0" applyFont="1" applyFill="1" applyBorder="1"/>
    <xf numFmtId="0" fontId="22" fillId="3" borderId="0" xfId="3" applyFont="1" applyFill="1" applyBorder="1" applyAlignment="1" applyProtection="1"/>
    <xf numFmtId="0" fontId="23" fillId="3" borderId="18" xfId="0" applyFont="1" applyFill="1" applyBorder="1"/>
    <xf numFmtId="0" fontId="23" fillId="3" borderId="0" xfId="0" applyFont="1" applyFill="1"/>
    <xf numFmtId="168" fontId="17" fillId="2" borderId="6" xfId="0" applyNumberFormat="1" applyFont="1" applyFill="1" applyBorder="1"/>
    <xf numFmtId="169" fontId="17" fillId="2" borderId="6" xfId="0" applyNumberFormat="1" applyFont="1" applyFill="1" applyBorder="1"/>
    <xf numFmtId="0" fontId="9" fillId="2" borderId="0" xfId="0" applyFont="1" applyFill="1" applyAlignment="1">
      <alignment vertical="top" wrapText="1"/>
    </xf>
    <xf numFmtId="167" fontId="5" fillId="2" borderId="2" xfId="0" applyNumberFormat="1" applyFont="1" applyFill="1" applyBorder="1"/>
    <xf numFmtId="0" fontId="24" fillId="2" borderId="0" xfId="0" applyFont="1" applyFill="1" applyAlignment="1">
      <alignment horizontal="center"/>
    </xf>
    <xf numFmtId="2" fontId="17" fillId="2" borderId="6" xfId="0" applyNumberFormat="1" applyFont="1" applyFill="1" applyBorder="1"/>
    <xf numFmtId="0" fontId="4" fillId="2" borderId="0" xfId="0" applyFont="1" applyFill="1" applyAlignment="1">
      <alignment vertical="top" wrapText="1"/>
    </xf>
    <xf numFmtId="0" fontId="17" fillId="2" borderId="2" xfId="0" applyFont="1" applyFill="1" applyBorder="1" applyAlignment="1">
      <alignment horizontal="left"/>
    </xf>
    <xf numFmtId="9" fontId="17" fillId="2" borderId="0" xfId="5" applyFont="1" applyFill="1"/>
    <xf numFmtId="169" fontId="5" fillId="2" borderId="0" xfId="5" applyNumberFormat="1" applyFont="1" applyFill="1" applyBorder="1"/>
    <xf numFmtId="0" fontId="4" fillId="7" borderId="0" xfId="0" applyFont="1" applyFill="1"/>
    <xf numFmtId="0" fontId="5" fillId="7" borderId="0" xfId="0" applyFont="1" applyFill="1"/>
    <xf numFmtId="2" fontId="5" fillId="7" borderId="0" xfId="0" applyNumberFormat="1" applyFont="1" applyFill="1"/>
    <xf numFmtId="169" fontId="9" fillId="2" borderId="0" xfId="5" applyNumberFormat="1" applyFont="1" applyFill="1"/>
    <xf numFmtId="165" fontId="17" fillId="2" borderId="0" xfId="0" applyNumberFormat="1" applyFont="1" applyFill="1" applyAlignment="1">
      <alignment horizontal="center" vertical="top" wrapText="1"/>
    </xf>
    <xf numFmtId="165" fontId="17" fillId="2" borderId="12" xfId="0" applyNumberFormat="1" applyFont="1" applyFill="1" applyBorder="1" applyAlignment="1">
      <alignment horizontal="center" vertical="top" wrapText="1"/>
    </xf>
    <xf numFmtId="0" fontId="5" fillId="7" borderId="0" xfId="0" applyFont="1" applyFill="1" applyAlignment="1">
      <alignment vertical="top" wrapText="1"/>
    </xf>
    <xf numFmtId="0" fontId="4" fillId="7" borderId="12" xfId="0" applyFont="1" applyFill="1" applyBorder="1"/>
    <xf numFmtId="2" fontId="17" fillId="2" borderId="0" xfId="0" applyNumberFormat="1" applyFont="1" applyFill="1" applyAlignment="1">
      <alignment horizontal="center"/>
    </xf>
    <xf numFmtId="2" fontId="4" fillId="7" borderId="0" xfId="0" applyNumberFormat="1" applyFont="1" applyFill="1"/>
    <xf numFmtId="0" fontId="5" fillId="7" borderId="8" xfId="0" applyFont="1" applyFill="1" applyBorder="1"/>
    <xf numFmtId="0" fontId="4" fillId="7" borderId="8" xfId="0" applyFont="1" applyFill="1" applyBorder="1" applyAlignment="1">
      <alignment horizontal="center" vertical="top" wrapText="1"/>
    </xf>
    <xf numFmtId="2" fontId="4" fillId="7" borderId="8" xfId="0" applyNumberFormat="1" applyFont="1" applyFill="1" applyBorder="1"/>
    <xf numFmtId="0" fontId="17" fillId="2" borderId="2" xfId="0" applyFont="1" applyFill="1" applyBorder="1" applyAlignment="1">
      <alignment horizontal="center"/>
    </xf>
    <xf numFmtId="0" fontId="1" fillId="2" borderId="0" xfId="0" applyFont="1" applyFill="1"/>
    <xf numFmtId="0" fontId="4" fillId="4" borderId="8" xfId="0" applyFont="1" applyFill="1" applyBorder="1"/>
    <xf numFmtId="0" fontId="32" fillId="2" borderId="0" xfId="0" applyFont="1" applyFill="1"/>
    <xf numFmtId="169" fontId="9" fillId="2" borderId="0" xfId="4" applyNumberFormat="1" applyFont="1" applyFill="1"/>
    <xf numFmtId="0" fontId="17" fillId="2" borderId="0" xfId="0" applyFont="1" applyFill="1" applyAlignment="1">
      <alignment horizontal="left"/>
    </xf>
    <xf numFmtId="2" fontId="1" fillId="3" borderId="8" xfId="0" applyNumberFormat="1" applyFont="1" applyFill="1" applyBorder="1"/>
    <xf numFmtId="0" fontId="1" fillId="3" borderId="11" xfId="0" applyFont="1" applyFill="1" applyBorder="1" applyProtection="1">
      <protection locked="0"/>
    </xf>
    <xf numFmtId="0" fontId="1" fillId="3" borderId="7" xfId="0" applyFont="1" applyFill="1" applyBorder="1" applyProtection="1">
      <protection locked="0"/>
    </xf>
    <xf numFmtId="0" fontId="0" fillId="7" borderId="0" xfId="0" applyFill="1"/>
    <xf numFmtId="0" fontId="1" fillId="7" borderId="0" xfId="0" applyFont="1" applyFill="1"/>
    <xf numFmtId="2" fontId="17" fillId="2" borderId="6" xfId="0" applyNumberFormat="1" applyFont="1" applyFill="1" applyBorder="1" applyAlignment="1">
      <alignment horizontal="center"/>
    </xf>
    <xf numFmtId="0" fontId="1" fillId="2" borderId="2" xfId="0" applyFont="1" applyFill="1" applyBorder="1"/>
    <xf numFmtId="0" fontId="4" fillId="4" borderId="7" xfId="0" applyFont="1" applyFill="1" applyBorder="1"/>
    <xf numFmtId="0" fontId="0" fillId="3" borderId="18" xfId="0" applyFill="1" applyBorder="1"/>
    <xf numFmtId="0" fontId="0" fillId="3" borderId="0" xfId="0" applyFill="1"/>
    <xf numFmtId="0" fontId="1" fillId="2" borderId="0" xfId="6" applyFill="1"/>
    <xf numFmtId="0" fontId="17" fillId="2" borderId="0" xfId="6" applyFont="1" applyFill="1"/>
    <xf numFmtId="0" fontId="1" fillId="2" borderId="2" xfId="6" applyFill="1" applyBorder="1"/>
    <xf numFmtId="0" fontId="4" fillId="2" borderId="13" xfId="6" applyFont="1" applyFill="1" applyBorder="1"/>
    <xf numFmtId="0" fontId="4" fillId="2" borderId="12" xfId="6" applyFont="1" applyFill="1" applyBorder="1" applyAlignment="1">
      <alignment horizontal="center"/>
    </xf>
    <xf numFmtId="0" fontId="17" fillId="2" borderId="2" xfId="6" applyFont="1" applyFill="1" applyBorder="1"/>
    <xf numFmtId="0" fontId="17" fillId="2" borderId="6" xfId="6" applyFont="1" applyFill="1" applyBorder="1" applyAlignment="1">
      <alignment horizontal="center"/>
    </xf>
    <xf numFmtId="0" fontId="15" fillId="2" borderId="0" xfId="6" applyFont="1" applyFill="1"/>
    <xf numFmtId="0" fontId="17" fillId="2" borderId="12" xfId="6" applyFont="1" applyFill="1" applyBorder="1"/>
    <xf numFmtId="0" fontId="17" fillId="2" borderId="12" xfId="6" applyFont="1" applyFill="1" applyBorder="1" applyAlignment="1" applyProtection="1">
      <alignment horizontal="center"/>
      <protection locked="0"/>
    </xf>
    <xf numFmtId="0" fontId="17" fillId="2" borderId="12" xfId="6" applyFont="1" applyFill="1" applyBorder="1" applyAlignment="1">
      <alignment horizontal="center"/>
    </xf>
    <xf numFmtId="0" fontId="17" fillId="2" borderId="0" xfId="6" applyFont="1" applyFill="1" applyAlignment="1" applyProtection="1">
      <alignment horizontal="center"/>
      <protection locked="0"/>
    </xf>
    <xf numFmtId="0" fontId="17" fillId="2" borderId="0" xfId="6" applyFont="1" applyFill="1" applyAlignment="1">
      <alignment horizontal="center"/>
    </xf>
    <xf numFmtId="9" fontId="17" fillId="2" borderId="0" xfId="7" applyFont="1" applyFill="1"/>
    <xf numFmtId="0" fontId="4" fillId="2" borderId="0" xfId="6" applyFont="1" applyFill="1" applyAlignment="1">
      <alignment horizontal="center"/>
    </xf>
    <xf numFmtId="0" fontId="17" fillId="2" borderId="2" xfId="6" applyFont="1" applyFill="1" applyBorder="1" applyAlignment="1" applyProtection="1">
      <alignment horizontal="center"/>
      <protection locked="0"/>
    </xf>
    <xf numFmtId="0" fontId="17" fillId="2" borderId="2" xfId="6" applyFont="1" applyFill="1" applyBorder="1" applyAlignment="1">
      <alignment horizontal="center"/>
    </xf>
    <xf numFmtId="0" fontId="4" fillId="2" borderId="2" xfId="6" applyFont="1" applyFill="1" applyBorder="1"/>
    <xf numFmtId="0" fontId="4" fillId="2" borderId="0" xfId="6" applyFont="1" applyFill="1"/>
    <xf numFmtId="0" fontId="4" fillId="2" borderId="6" xfId="6" applyFont="1" applyFill="1" applyBorder="1"/>
    <xf numFmtId="0" fontId="1" fillId="2" borderId="0" xfId="6" applyFill="1" applyAlignment="1">
      <alignment vertical="top" wrapText="1"/>
    </xf>
    <xf numFmtId="0" fontId="1" fillId="2" borderId="0" xfId="6" applyFill="1" applyAlignment="1">
      <alignment horizontal="left" vertical="top" wrapText="1"/>
    </xf>
    <xf numFmtId="168" fontId="17" fillId="2" borderId="0" xfId="6" applyNumberFormat="1" applyFont="1" applyFill="1"/>
    <xf numFmtId="0" fontId="17" fillId="2" borderId="0" xfId="6" applyFont="1" applyFill="1" applyAlignment="1">
      <alignment horizontal="left"/>
    </xf>
    <xf numFmtId="0" fontId="9" fillId="2" borderId="0" xfId="6" applyFont="1" applyFill="1"/>
    <xf numFmtId="0" fontId="4" fillId="2" borderId="0" xfId="6" applyFont="1" applyFill="1" applyAlignment="1">
      <alignment horizontal="right"/>
    </xf>
    <xf numFmtId="2" fontId="1" fillId="2" borderId="0" xfId="6" applyNumberFormat="1" applyFill="1"/>
    <xf numFmtId="0" fontId="9" fillId="2" borderId="2" xfId="6" applyFont="1" applyFill="1" applyBorder="1"/>
    <xf numFmtId="0" fontId="17" fillId="2" borderId="6" xfId="6" applyFont="1" applyFill="1" applyBorder="1"/>
    <xf numFmtId="2" fontId="1" fillId="7" borderId="0" xfId="6" applyNumberFormat="1" applyFill="1"/>
    <xf numFmtId="0" fontId="1" fillId="7" borderId="0" xfId="6" applyFill="1"/>
    <xf numFmtId="168" fontId="17" fillId="2" borderId="2" xfId="6" applyNumberFormat="1" applyFont="1" applyFill="1" applyBorder="1" applyAlignment="1">
      <alignment horizontal="center"/>
    </xf>
    <xf numFmtId="0" fontId="1" fillId="2" borderId="0" xfId="6" applyFill="1" applyAlignment="1">
      <alignment horizontal="center"/>
    </xf>
    <xf numFmtId="0" fontId="4" fillId="2" borderId="0" xfId="6" applyFont="1" applyFill="1" applyAlignment="1">
      <alignment horizontal="center" wrapText="1"/>
    </xf>
    <xf numFmtId="0" fontId="4" fillId="2" borderId="0" xfId="6" applyFont="1" applyFill="1" applyAlignment="1">
      <alignment wrapText="1"/>
    </xf>
    <xf numFmtId="0" fontId="1" fillId="2" borderId="0" xfId="6" applyFill="1" applyAlignment="1">
      <alignment horizontal="justify" wrapText="1"/>
    </xf>
    <xf numFmtId="2" fontId="4" fillId="2" borderId="0" xfId="6" applyNumberFormat="1" applyFont="1" applyFill="1" applyAlignment="1">
      <alignment horizontal="center"/>
    </xf>
    <xf numFmtId="0" fontId="11" fillId="3" borderId="3" xfId="6" applyFont="1" applyFill="1" applyBorder="1" applyAlignment="1">
      <alignment horizontal="center" wrapText="1"/>
    </xf>
    <xf numFmtId="0" fontId="13" fillId="2" borderId="3" xfId="6" applyFont="1" applyFill="1" applyBorder="1" applyAlignment="1">
      <alignment horizontal="center" wrapText="1"/>
    </xf>
    <xf numFmtId="0" fontId="1" fillId="2" borderId="0" xfId="6" applyFill="1" applyAlignment="1">
      <alignment horizontal="center" wrapText="1"/>
    </xf>
    <xf numFmtId="2" fontId="4" fillId="7" borderId="0" xfId="6" applyNumberFormat="1" applyFont="1" applyFill="1"/>
    <xf numFmtId="0" fontId="12" fillId="3" borderId="3" xfId="6" applyFont="1" applyFill="1" applyBorder="1" applyAlignment="1">
      <alignment horizontal="center" wrapText="1"/>
    </xf>
    <xf numFmtId="0" fontId="11" fillId="3" borderId="4" xfId="6" applyFont="1" applyFill="1" applyBorder="1" applyAlignment="1">
      <alignment horizontal="center" wrapText="1"/>
    </xf>
    <xf numFmtId="0" fontId="13" fillId="2" borderId="4" xfId="6" applyFont="1" applyFill="1" applyBorder="1" applyAlignment="1">
      <alignment horizontal="center" wrapText="1"/>
    </xf>
    <xf numFmtId="0" fontId="12" fillId="3" borderId="5" xfId="6" applyFont="1" applyFill="1" applyBorder="1" applyAlignment="1">
      <alignment horizontal="center" wrapText="1"/>
    </xf>
    <xf numFmtId="0" fontId="13" fillId="2" borderId="5" xfId="6" applyFont="1" applyFill="1" applyBorder="1" applyAlignment="1">
      <alignment horizontal="center" wrapText="1"/>
    </xf>
    <xf numFmtId="0" fontId="4" fillId="2" borderId="1" xfId="6" applyFont="1" applyFill="1" applyBorder="1" applyAlignment="1">
      <alignment horizontal="center" wrapText="1"/>
    </xf>
    <xf numFmtId="0" fontId="1" fillId="2" borderId="1" xfId="6" applyFill="1" applyBorder="1" applyAlignment="1">
      <alignment horizontal="center" wrapText="1"/>
    </xf>
    <xf numFmtId="0" fontId="1" fillId="2" borderId="6" xfId="6" applyFill="1" applyBorder="1"/>
    <xf numFmtId="2" fontId="1" fillId="2" borderId="0" xfId="6" applyNumberFormat="1" applyFill="1" applyAlignment="1">
      <alignment horizontal="center"/>
    </xf>
    <xf numFmtId="169" fontId="1" fillId="2" borderId="0" xfId="4" applyNumberFormat="1" applyFont="1" applyFill="1" applyBorder="1"/>
    <xf numFmtId="0" fontId="4" fillId="4" borderId="6" xfId="6" applyFont="1" applyFill="1" applyBorder="1"/>
    <xf numFmtId="0" fontId="20" fillId="2" borderId="0" xfId="6" applyFont="1" applyFill="1"/>
    <xf numFmtId="0" fontId="21" fillId="2" borderId="0" xfId="6" applyFont="1" applyFill="1"/>
    <xf numFmtId="2" fontId="1" fillId="2" borderId="2" xfId="6" applyNumberFormat="1" applyFill="1" applyBorder="1" applyAlignment="1">
      <alignment horizontal="center"/>
    </xf>
    <xf numFmtId="0" fontId="1" fillId="2" borderId="0" xfId="6" applyFill="1" applyAlignment="1">
      <alignment horizontal="left"/>
    </xf>
    <xf numFmtId="0" fontId="15" fillId="2" borderId="0" xfId="6" applyFont="1" applyFill="1" applyAlignment="1">
      <alignment horizontal="center"/>
    </xf>
    <xf numFmtId="0" fontId="1" fillId="2" borderId="0" xfId="6" applyFill="1" applyAlignment="1">
      <alignment horizontal="left" wrapText="1"/>
    </xf>
    <xf numFmtId="0" fontId="4" fillId="2" borderId="0" xfId="6" applyFont="1" applyFill="1" applyAlignment="1">
      <alignment horizontal="left"/>
    </xf>
    <xf numFmtId="0" fontId="4" fillId="3" borderId="6" xfId="6" applyFont="1" applyFill="1" applyBorder="1"/>
    <xf numFmtId="0" fontId="4" fillId="3" borderId="12" xfId="6" applyFont="1" applyFill="1" applyBorder="1"/>
    <xf numFmtId="0" fontId="4" fillId="7" borderId="0" xfId="6" applyFont="1" applyFill="1"/>
    <xf numFmtId="0" fontId="4" fillId="7" borderId="12" xfId="6" applyFont="1" applyFill="1" applyBorder="1"/>
    <xf numFmtId="164" fontId="1" fillId="3" borderId="8" xfId="6" applyNumberFormat="1" applyFill="1" applyBorder="1"/>
    <xf numFmtId="164" fontId="1" fillId="2" borderId="0" xfId="6" applyNumberFormat="1" applyFill="1"/>
    <xf numFmtId="43" fontId="1" fillId="2" borderId="0" xfId="1" applyFill="1"/>
    <xf numFmtId="0" fontId="1" fillId="2" borderId="2" xfId="6" applyFill="1" applyBorder="1" applyAlignment="1">
      <alignment horizontal="center"/>
    </xf>
    <xf numFmtId="2" fontId="17" fillId="2" borderId="0" xfId="6" applyNumberFormat="1" applyFont="1" applyFill="1"/>
    <xf numFmtId="2" fontId="17" fillId="2" borderId="0" xfId="6" applyNumberFormat="1" applyFont="1" applyFill="1" applyAlignment="1">
      <alignment horizontal="center"/>
    </xf>
    <xf numFmtId="2" fontId="17" fillId="2" borderId="2" xfId="6" applyNumberFormat="1" applyFont="1" applyFill="1" applyBorder="1" applyAlignment="1">
      <alignment vertical="top" wrapText="1"/>
    </xf>
    <xf numFmtId="0" fontId="17" fillId="2" borderId="0" xfId="6" applyFont="1" applyFill="1" applyAlignment="1">
      <alignment horizontal="center" vertical="top" wrapText="1"/>
    </xf>
    <xf numFmtId="0" fontId="1" fillId="2" borderId="0" xfId="6" applyFill="1" applyAlignment="1">
      <alignment horizontal="center" vertical="top" wrapText="1"/>
    </xf>
    <xf numFmtId="2" fontId="1" fillId="3" borderId="8" xfId="6" applyNumberFormat="1" applyFill="1" applyBorder="1"/>
    <xf numFmtId="0" fontId="10" fillId="2" borderId="0" xfId="6" applyFont="1" applyFill="1" applyProtection="1">
      <protection locked="0"/>
    </xf>
    <xf numFmtId="164" fontId="17" fillId="2" borderId="0" xfId="6" applyNumberFormat="1" applyFont="1" applyFill="1"/>
    <xf numFmtId="0" fontId="1" fillId="3" borderId="31" xfId="6" applyFill="1" applyBorder="1" applyAlignment="1">
      <alignment horizontal="center"/>
    </xf>
    <xf numFmtId="0" fontId="1" fillId="3" borderId="6" xfId="6" applyFill="1" applyBorder="1" applyAlignment="1">
      <alignment horizontal="center"/>
    </xf>
    <xf numFmtId="0" fontId="1" fillId="3" borderId="32" xfId="6" applyFill="1" applyBorder="1" applyAlignment="1">
      <alignment horizontal="center"/>
    </xf>
    <xf numFmtId="0" fontId="1" fillId="3" borderId="7" xfId="6" applyFill="1" applyBorder="1" applyProtection="1">
      <protection locked="0"/>
    </xf>
    <xf numFmtId="0" fontId="1" fillId="3" borderId="11" xfId="6" applyFill="1" applyBorder="1" applyProtection="1">
      <protection locked="0"/>
    </xf>
    <xf numFmtId="0" fontId="4" fillId="4" borderId="8" xfId="6" applyFont="1" applyFill="1" applyBorder="1"/>
    <xf numFmtId="0" fontId="17" fillId="7" borderId="0" xfId="6" applyFont="1" applyFill="1"/>
    <xf numFmtId="0" fontId="11" fillId="2" borderId="0" xfId="6" applyFont="1" applyFill="1" applyAlignment="1">
      <alignment horizontal="center" wrapText="1"/>
    </xf>
    <xf numFmtId="171" fontId="1" fillId="2" borderId="0" xfId="1" applyNumberFormat="1" applyFont="1" applyFill="1" applyBorder="1"/>
    <xf numFmtId="0" fontId="12" fillId="2" borderId="0" xfId="6" applyFont="1" applyFill="1" applyAlignment="1">
      <alignment horizontal="center" wrapText="1"/>
    </xf>
    <xf numFmtId="0" fontId="13" fillId="2" borderId="0" xfId="6" applyFont="1" applyFill="1" applyAlignment="1">
      <alignment horizontal="center" wrapText="1"/>
    </xf>
    <xf numFmtId="2" fontId="17" fillId="2" borderId="6" xfId="6" applyNumberFormat="1" applyFont="1" applyFill="1" applyBorder="1"/>
    <xf numFmtId="166" fontId="17" fillId="2" borderId="6" xfId="6" applyNumberFormat="1" applyFont="1" applyFill="1" applyBorder="1"/>
    <xf numFmtId="169" fontId="17" fillId="2" borderId="6" xfId="6" applyNumberFormat="1" applyFont="1" applyFill="1" applyBorder="1"/>
    <xf numFmtId="170" fontId="17" fillId="2" borderId="6" xfId="6" applyNumberFormat="1" applyFont="1" applyFill="1" applyBorder="1"/>
    <xf numFmtId="170" fontId="17" fillId="2" borderId="0" xfId="6" applyNumberFormat="1" applyFont="1" applyFill="1"/>
    <xf numFmtId="166" fontId="17" fillId="2" borderId="0" xfId="6" applyNumberFormat="1" applyFont="1" applyFill="1"/>
    <xf numFmtId="169" fontId="17" fillId="2" borderId="0" xfId="6" applyNumberFormat="1" applyFont="1" applyFill="1"/>
    <xf numFmtId="0" fontId="4" fillId="2" borderId="12" xfId="6" applyFont="1" applyFill="1" applyBorder="1"/>
    <xf numFmtId="0" fontId="1" fillId="0" borderId="0" xfId="6"/>
    <xf numFmtId="43" fontId="1" fillId="2" borderId="0" xfId="1" applyFont="1" applyFill="1" applyBorder="1"/>
    <xf numFmtId="0" fontId="20" fillId="2" borderId="0" xfId="6" applyFont="1" applyFill="1" applyAlignment="1">
      <alignment horizontal="center"/>
    </xf>
    <xf numFmtId="2" fontId="20" fillId="2" borderId="0" xfId="6" applyNumberFormat="1" applyFont="1" applyFill="1" applyAlignment="1">
      <alignment horizontal="center"/>
    </xf>
    <xf numFmtId="0" fontId="21" fillId="2" borderId="0" xfId="6" applyFont="1" applyFill="1" applyAlignment="1">
      <alignment horizontal="center"/>
    </xf>
    <xf numFmtId="171" fontId="20" fillId="2" borderId="0" xfId="6" applyNumberFormat="1" applyFont="1" applyFill="1"/>
    <xf numFmtId="166" fontId="9" fillId="2" borderId="0" xfId="6" applyNumberFormat="1" applyFont="1" applyFill="1"/>
    <xf numFmtId="169" fontId="9" fillId="2" borderId="0" xfId="6" applyNumberFormat="1" applyFont="1" applyFill="1"/>
    <xf numFmtId="0" fontId="1" fillId="2" borderId="0" xfId="6" applyFill="1" applyAlignment="1">
      <alignment wrapText="1"/>
    </xf>
    <xf numFmtId="166" fontId="9" fillId="2" borderId="2" xfId="6" applyNumberFormat="1" applyFont="1" applyFill="1" applyBorder="1"/>
    <xf numFmtId="169" fontId="9" fillId="2" borderId="2" xfId="6" applyNumberFormat="1" applyFont="1" applyFill="1" applyBorder="1"/>
    <xf numFmtId="171" fontId="20" fillId="2" borderId="2" xfId="6" applyNumberFormat="1" applyFont="1" applyFill="1" applyBorder="1"/>
    <xf numFmtId="0" fontId="20" fillId="2" borderId="2" xfId="6" applyFont="1" applyFill="1" applyBorder="1"/>
    <xf numFmtId="2" fontId="1" fillId="2" borderId="0" xfId="0" applyNumberFormat="1" applyFont="1" applyFill="1"/>
    <xf numFmtId="0" fontId="33" fillId="0" borderId="0" xfId="0" applyFont="1" applyAlignment="1">
      <alignment vertical="center"/>
    </xf>
    <xf numFmtId="0" fontId="37" fillId="7" borderId="0" xfId="6" applyFont="1" applyFill="1"/>
    <xf numFmtId="0" fontId="36" fillId="7" borderId="6" xfId="6" applyFont="1" applyFill="1" applyBorder="1" applyAlignment="1">
      <alignment wrapText="1"/>
    </xf>
    <xf numFmtId="166" fontId="37" fillId="7" borderId="0" xfId="6" applyNumberFormat="1" applyFont="1" applyFill="1"/>
    <xf numFmtId="0" fontId="5" fillId="4" borderId="22" xfId="0" applyFont="1" applyFill="1" applyBorder="1" applyAlignment="1">
      <alignment horizontal="left" vertical="top" wrapText="1"/>
    </xf>
    <xf numFmtId="0" fontId="5" fillId="4" borderId="23"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4" borderId="18" xfId="0" applyFont="1" applyFill="1" applyBorder="1" applyAlignment="1">
      <alignment horizontal="left" vertical="top" wrapText="1"/>
    </xf>
    <xf numFmtId="0" fontId="5" fillId="4" borderId="0" xfId="0" applyFont="1" applyFill="1" applyAlignment="1">
      <alignment horizontal="left" vertical="top" wrapText="1"/>
    </xf>
    <xf numFmtId="0" fontId="5" fillId="4" borderId="17" xfId="0" applyFont="1" applyFill="1" applyBorder="1" applyAlignment="1">
      <alignment horizontal="left" vertical="top" wrapText="1"/>
    </xf>
    <xf numFmtId="0" fontId="2" fillId="3" borderId="19" xfId="3" applyFill="1" applyBorder="1" applyAlignment="1" applyProtection="1">
      <alignment horizontal="left"/>
    </xf>
    <xf numFmtId="0" fontId="2" fillId="3" borderId="20" xfId="3" applyFill="1" applyBorder="1" applyAlignment="1" applyProtection="1">
      <alignment horizontal="left"/>
    </xf>
    <xf numFmtId="0" fontId="22" fillId="3" borderId="20" xfId="3" applyFont="1" applyFill="1" applyBorder="1" applyAlignment="1" applyProtection="1">
      <alignment horizontal="left"/>
    </xf>
    <xf numFmtId="0" fontId="22" fillId="3" borderId="21" xfId="3" applyFont="1" applyFill="1" applyBorder="1" applyAlignment="1" applyProtection="1">
      <alignment horizontal="left"/>
    </xf>
    <xf numFmtId="0" fontId="2" fillId="4" borderId="0" xfId="3" applyFill="1" applyBorder="1" applyAlignment="1" applyProtection="1">
      <alignment horizontal="left"/>
    </xf>
    <xf numFmtId="0" fontId="25" fillId="3" borderId="0" xfId="0" applyFont="1" applyFill="1" applyAlignment="1">
      <alignment horizontal="left" wrapText="1"/>
    </xf>
    <xf numFmtId="0" fontId="5" fillId="2" borderId="12" xfId="0" applyFont="1" applyFill="1" applyBorder="1" applyAlignment="1">
      <alignment horizontal="center" vertical="center"/>
    </xf>
    <xf numFmtId="0" fontId="5" fillId="2" borderId="0" xfId="0" applyFont="1" applyFill="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center"/>
    </xf>
    <xf numFmtId="0" fontId="4" fillId="2" borderId="13" xfId="0" applyFont="1" applyFill="1" applyBorder="1" applyAlignment="1">
      <alignment horizontal="right"/>
    </xf>
    <xf numFmtId="0" fontId="17" fillId="2" borderId="2" xfId="0" applyFont="1" applyFill="1" applyBorder="1" applyAlignment="1">
      <alignment horizontal="center"/>
    </xf>
    <xf numFmtId="0" fontId="4" fillId="3" borderId="6" xfId="0" applyFont="1" applyFill="1" applyBorder="1" applyAlignment="1">
      <alignment horizontal="left"/>
    </xf>
    <xf numFmtId="0" fontId="4" fillId="3" borderId="6" xfId="0" applyFont="1" applyFill="1" applyBorder="1" applyAlignment="1">
      <alignment horizontal="center"/>
    </xf>
    <xf numFmtId="0" fontId="5" fillId="2" borderId="12" xfId="0" applyFont="1" applyFill="1" applyBorder="1" applyAlignment="1">
      <alignment horizontal="center" vertical="top" wrapText="1"/>
    </xf>
    <xf numFmtId="0" fontId="5" fillId="2" borderId="0" xfId="0" applyFont="1" applyFill="1" applyAlignment="1">
      <alignment horizontal="center" vertical="top" wrapText="1"/>
    </xf>
    <xf numFmtId="0" fontId="5" fillId="2" borderId="2" xfId="0" applyFont="1" applyFill="1" applyBorder="1" applyAlignment="1">
      <alignment horizontal="center" vertical="top" wrapText="1"/>
    </xf>
    <xf numFmtId="0" fontId="4" fillId="2" borderId="2" xfId="0" applyFont="1" applyFill="1" applyBorder="1" applyAlignment="1">
      <alignment horizontal="center"/>
    </xf>
    <xf numFmtId="0" fontId="4" fillId="2" borderId="6" xfId="0" applyFont="1" applyFill="1" applyBorder="1" applyAlignment="1">
      <alignment horizontal="center"/>
    </xf>
    <xf numFmtId="2" fontId="4" fillId="5" borderId="6" xfId="0" applyNumberFormat="1" applyFont="1" applyFill="1" applyBorder="1" applyAlignment="1">
      <alignment horizontal="center"/>
    </xf>
    <xf numFmtId="2" fontId="4" fillId="4" borderId="6" xfId="0" applyNumberFormat="1" applyFont="1" applyFill="1" applyBorder="1" applyAlignment="1">
      <alignment horizontal="center"/>
    </xf>
    <xf numFmtId="0" fontId="4" fillId="2" borderId="20" xfId="0" applyFont="1" applyFill="1" applyBorder="1" applyAlignment="1">
      <alignment horizontal="center" wrapText="1"/>
    </xf>
    <xf numFmtId="0" fontId="4" fillId="2" borderId="9" xfId="0" applyFont="1" applyFill="1" applyBorder="1" applyAlignment="1">
      <alignment horizontal="center" wrapText="1"/>
    </xf>
    <xf numFmtId="0" fontId="4" fillId="2" borderId="3" xfId="0" applyFont="1" applyFill="1" applyBorder="1" applyAlignment="1">
      <alignment horizontal="center" vertical="center" wrapText="1"/>
    </xf>
    <xf numFmtId="0" fontId="4" fillId="2" borderId="9" xfId="0" applyFont="1" applyFill="1" applyBorder="1" applyAlignment="1">
      <alignment horizontal="center"/>
    </xf>
    <xf numFmtId="0" fontId="4" fillId="3" borderId="25" xfId="0" applyFont="1" applyFill="1" applyBorder="1" applyAlignment="1" applyProtection="1">
      <alignment horizontal="center" vertical="center" wrapText="1"/>
      <protection locked="0"/>
    </xf>
    <xf numFmtId="0" fontId="4" fillId="3" borderId="26" xfId="0" applyFont="1" applyFill="1" applyBorder="1" applyAlignment="1" applyProtection="1">
      <alignment horizontal="center" vertical="center" wrapText="1"/>
      <protection locked="0"/>
    </xf>
    <xf numFmtId="0" fontId="4" fillId="3" borderId="27" xfId="0" applyFont="1" applyFill="1" applyBorder="1" applyAlignment="1" applyProtection="1">
      <alignment horizontal="center" vertical="center" wrapText="1"/>
      <protection locked="0"/>
    </xf>
    <xf numFmtId="0" fontId="4" fillId="2" borderId="7" xfId="0" applyFont="1" applyFill="1" applyBorder="1" applyAlignment="1" applyProtection="1">
      <alignment horizontal="center" vertical="center" wrapText="1"/>
      <protection locked="0"/>
    </xf>
    <xf numFmtId="0" fontId="4" fillId="2" borderId="8" xfId="0" applyFont="1" applyFill="1" applyBorder="1" applyAlignment="1" applyProtection="1">
      <alignment horizontal="center" vertical="center" wrapText="1"/>
      <protection locked="0"/>
    </xf>
    <xf numFmtId="164" fontId="4" fillId="4" borderId="25" xfId="0" applyNumberFormat="1" applyFont="1" applyFill="1" applyBorder="1" applyAlignment="1">
      <alignment horizontal="center" vertical="center" wrapText="1"/>
    </xf>
    <xf numFmtId="164" fontId="4" fillId="4" borderId="26" xfId="0" applyNumberFormat="1" applyFont="1" applyFill="1" applyBorder="1" applyAlignment="1">
      <alignment horizontal="center" vertical="center" wrapText="1"/>
    </xf>
    <xf numFmtId="0" fontId="4" fillId="3" borderId="28" xfId="0" applyFont="1" applyFill="1" applyBorder="1" applyAlignment="1" applyProtection="1">
      <alignment horizontal="center" vertical="center" wrapText="1"/>
      <protection locked="0"/>
    </xf>
    <xf numFmtId="0" fontId="4" fillId="3" borderId="29" xfId="0" applyFont="1" applyFill="1" applyBorder="1" applyAlignment="1" applyProtection="1">
      <alignment horizontal="center" vertical="center" wrapText="1"/>
      <protection locked="0"/>
    </xf>
    <xf numFmtId="0" fontId="4" fillId="2" borderId="30" xfId="0" applyFont="1" applyFill="1" applyBorder="1" applyAlignment="1" applyProtection="1">
      <alignment horizontal="center" vertical="center" wrapText="1"/>
      <protection locked="0"/>
    </xf>
    <xf numFmtId="164" fontId="4" fillId="4" borderId="28" xfId="0" applyNumberFormat="1" applyFont="1" applyFill="1" applyBorder="1" applyAlignment="1">
      <alignment horizontal="center" vertical="center" wrapText="1"/>
    </xf>
    <xf numFmtId="164" fontId="4" fillId="4" borderId="29" xfId="0" applyNumberFormat="1" applyFont="1" applyFill="1" applyBorder="1" applyAlignment="1">
      <alignment horizontal="center" vertical="center" wrapText="1"/>
    </xf>
    <xf numFmtId="0" fontId="17" fillId="2" borderId="6" xfId="0" applyFont="1" applyFill="1" applyBorder="1" applyAlignment="1">
      <alignment horizontal="center"/>
    </xf>
    <xf numFmtId="0" fontId="5" fillId="2" borderId="0" xfId="0" applyFont="1" applyFill="1" applyAlignment="1">
      <alignment horizontal="left"/>
    </xf>
    <xf numFmtId="0" fontId="5" fillId="2" borderId="2" xfId="0" applyFont="1" applyFill="1" applyBorder="1" applyAlignment="1">
      <alignment horizontal="left"/>
    </xf>
    <xf numFmtId="0" fontId="5" fillId="5" borderId="0" xfId="0" applyFont="1" applyFill="1" applyAlignment="1">
      <alignment horizontal="left" wrapText="1"/>
    </xf>
    <xf numFmtId="0" fontId="4" fillId="2" borderId="25" xfId="0" applyFont="1" applyFill="1" applyBorder="1" applyAlignment="1">
      <alignment horizontal="center" vertical="center" wrapText="1"/>
    </xf>
    <xf numFmtId="0" fontId="4" fillId="2" borderId="26" xfId="0" applyFont="1" applyFill="1" applyBorder="1" applyAlignment="1">
      <alignment horizontal="center" vertical="center" wrapText="1"/>
    </xf>
    <xf numFmtId="0" fontId="10" fillId="2" borderId="0" xfId="0" applyFont="1" applyFill="1" applyAlignment="1">
      <alignment horizontal="center"/>
    </xf>
    <xf numFmtId="2" fontId="9" fillId="2" borderId="0" xfId="0" applyNumberFormat="1" applyFont="1" applyFill="1" applyAlignment="1">
      <alignment horizontal="center"/>
    </xf>
    <xf numFmtId="0" fontId="15" fillId="5" borderId="12" xfId="0" applyFont="1" applyFill="1" applyBorder="1" applyAlignment="1">
      <alignment horizontal="center"/>
    </xf>
    <xf numFmtId="0" fontId="5" fillId="4" borderId="6" xfId="0" applyFont="1" applyFill="1" applyBorder="1" applyAlignment="1">
      <alignment horizontal="center"/>
    </xf>
    <xf numFmtId="0" fontId="4" fillId="4" borderId="6" xfId="0" applyFont="1" applyFill="1" applyBorder="1" applyAlignment="1">
      <alignment horizontal="center"/>
    </xf>
    <xf numFmtId="0" fontId="4" fillId="4" borderId="12" xfId="0" applyFont="1" applyFill="1" applyBorder="1" applyAlignment="1">
      <alignment horizontal="center" wrapText="1"/>
    </xf>
    <xf numFmtId="0" fontId="4" fillId="4" borderId="2" xfId="0" applyFont="1" applyFill="1" applyBorder="1" applyAlignment="1">
      <alignment horizontal="center" wrapText="1"/>
    </xf>
    <xf numFmtId="2" fontId="5" fillId="2" borderId="12" xfId="0" applyNumberFormat="1" applyFont="1" applyFill="1" applyBorder="1" applyAlignment="1">
      <alignment horizontal="left"/>
    </xf>
    <xf numFmtId="0" fontId="5" fillId="2" borderId="12" xfId="0" applyFont="1" applyFill="1" applyBorder="1" applyAlignment="1">
      <alignment horizontal="left"/>
    </xf>
    <xf numFmtId="0" fontId="17" fillId="2" borderId="0" xfId="0" applyFont="1" applyFill="1" applyAlignment="1">
      <alignment horizontal="center"/>
    </xf>
    <xf numFmtId="164" fontId="4" fillId="4" borderId="27" xfId="0" applyNumberFormat="1" applyFont="1" applyFill="1" applyBorder="1" applyAlignment="1">
      <alignment horizontal="center" vertical="center" wrapText="1"/>
    </xf>
    <xf numFmtId="0" fontId="5" fillId="2" borderId="0" xfId="0" applyFont="1" applyFill="1" applyAlignment="1">
      <alignment horizontal="center"/>
    </xf>
    <xf numFmtId="164" fontId="4" fillId="2" borderId="7" xfId="0" applyNumberFormat="1" applyFont="1" applyFill="1" applyBorder="1" applyAlignment="1" applyProtection="1">
      <alignment horizontal="center" vertical="center" wrapText="1"/>
      <protection locked="0"/>
    </xf>
    <xf numFmtId="164" fontId="4" fillId="2" borderId="8" xfId="0" applyNumberFormat="1" applyFont="1" applyFill="1" applyBorder="1" applyAlignment="1" applyProtection="1">
      <alignment horizontal="center" vertical="center" wrapText="1"/>
      <protection locked="0"/>
    </xf>
    <xf numFmtId="0" fontId="1" fillId="2" borderId="0" xfId="6" applyFill="1" applyAlignment="1">
      <alignment horizontal="left" wrapText="1"/>
    </xf>
    <xf numFmtId="2" fontId="1" fillId="2" borderId="12" xfId="6" applyNumberFormat="1" applyFill="1" applyBorder="1" applyAlignment="1">
      <alignment horizontal="left"/>
    </xf>
    <xf numFmtId="0" fontId="1" fillId="2" borderId="12" xfId="6" applyFill="1" applyBorder="1" applyAlignment="1">
      <alignment horizontal="left"/>
    </xf>
    <xf numFmtId="0" fontId="1" fillId="2" borderId="0" xfId="6" applyFill="1" applyAlignment="1">
      <alignment horizontal="left"/>
    </xf>
    <xf numFmtId="0" fontId="1" fillId="2" borderId="2" xfId="6" applyFill="1" applyBorder="1" applyAlignment="1">
      <alignment horizontal="left"/>
    </xf>
    <xf numFmtId="0" fontId="1" fillId="2" borderId="12" xfId="6" applyFill="1" applyBorder="1" applyAlignment="1">
      <alignment horizontal="center" vertical="center"/>
    </xf>
    <xf numFmtId="0" fontId="1" fillId="2" borderId="0" xfId="6" applyFill="1" applyAlignment="1">
      <alignment horizontal="center" vertical="center"/>
    </xf>
    <xf numFmtId="0" fontId="1" fillId="2" borderId="2" xfId="6" applyFill="1" applyBorder="1" applyAlignment="1">
      <alignment horizontal="center" vertical="center"/>
    </xf>
    <xf numFmtId="0" fontId="21" fillId="3" borderId="2" xfId="6" applyFont="1" applyFill="1" applyBorder="1" applyAlignment="1">
      <alignment horizontal="left"/>
    </xf>
    <xf numFmtId="0" fontId="15" fillId="2" borderId="0" xfId="6" applyFont="1" applyFill="1" applyAlignment="1">
      <alignment horizontal="center"/>
    </xf>
    <xf numFmtId="2" fontId="1" fillId="2" borderId="0" xfId="6" applyNumberFormat="1" applyFill="1" applyAlignment="1">
      <alignment horizontal="center"/>
    </xf>
    <xf numFmtId="0" fontId="4" fillId="4" borderId="6" xfId="6" applyFont="1" applyFill="1" applyBorder="1" applyAlignment="1">
      <alignment horizontal="center"/>
    </xf>
    <xf numFmtId="0" fontId="4" fillId="4" borderId="12" xfId="6" applyFont="1" applyFill="1" applyBorder="1" applyAlignment="1">
      <alignment horizontal="center" wrapText="1"/>
    </xf>
    <xf numFmtId="0" fontId="4" fillId="4" borderId="2" xfId="6" applyFont="1" applyFill="1" applyBorder="1" applyAlignment="1">
      <alignment horizontal="center" wrapText="1"/>
    </xf>
    <xf numFmtId="2" fontId="10" fillId="2" borderId="0" xfId="6" applyNumberFormat="1" applyFont="1" applyFill="1" applyAlignment="1">
      <alignment horizontal="center"/>
    </xf>
    <xf numFmtId="0" fontId="10" fillId="2" borderId="0" xfId="6" applyFont="1" applyFill="1" applyAlignment="1">
      <alignment horizontal="center"/>
    </xf>
    <xf numFmtId="2" fontId="9" fillId="2" borderId="12" xfId="6" applyNumberFormat="1" applyFont="1" applyFill="1" applyBorder="1" applyAlignment="1">
      <alignment horizontal="center"/>
    </xf>
    <xf numFmtId="0" fontId="4" fillId="5" borderId="6" xfId="6" applyFont="1" applyFill="1" applyBorder="1" applyAlignment="1">
      <alignment horizontal="center"/>
    </xf>
    <xf numFmtId="0" fontId="4" fillId="2" borderId="2" xfId="6" applyFont="1" applyFill="1" applyBorder="1" applyAlignment="1">
      <alignment horizontal="center"/>
    </xf>
    <xf numFmtId="0" fontId="4" fillId="2" borderId="10" xfId="6" applyFont="1" applyFill="1" applyBorder="1" applyAlignment="1">
      <alignment horizontal="center"/>
    </xf>
    <xf numFmtId="0" fontId="17" fillId="2" borderId="6" xfId="6" applyFont="1" applyFill="1" applyBorder="1" applyAlignment="1">
      <alignment horizontal="center"/>
    </xf>
    <xf numFmtId="0" fontId="4" fillId="2" borderId="3" xfId="6" applyFont="1" applyFill="1" applyBorder="1" applyAlignment="1">
      <alignment horizontal="center" vertical="center" wrapText="1"/>
    </xf>
    <xf numFmtId="0" fontId="4" fillId="2" borderId="25" xfId="6" applyFont="1" applyFill="1" applyBorder="1" applyAlignment="1">
      <alignment horizontal="center" vertical="center" wrapText="1"/>
    </xf>
    <xf numFmtId="0" fontId="4" fillId="2" borderId="26" xfId="6" applyFont="1" applyFill="1" applyBorder="1" applyAlignment="1">
      <alignment horizontal="center" vertical="center" wrapText="1"/>
    </xf>
    <xf numFmtId="164" fontId="4" fillId="2" borderId="27" xfId="6" applyNumberFormat="1" applyFont="1" applyFill="1" applyBorder="1" applyAlignment="1">
      <alignment horizontal="center" vertical="center" wrapText="1"/>
    </xf>
    <xf numFmtId="164" fontId="4" fillId="2" borderId="26" xfId="6" applyNumberFormat="1" applyFont="1" applyFill="1" applyBorder="1" applyAlignment="1">
      <alignment horizontal="center" vertical="center" wrapText="1"/>
    </xf>
    <xf numFmtId="0" fontId="17" fillId="2" borderId="0" xfId="6" applyFont="1" applyFill="1" applyAlignment="1">
      <alignment horizontal="center"/>
    </xf>
    <xf numFmtId="0" fontId="4" fillId="3" borderId="28" xfId="6" applyFont="1" applyFill="1" applyBorder="1" applyAlignment="1" applyProtection="1">
      <alignment horizontal="center" vertical="center" wrapText="1"/>
      <protection locked="0"/>
    </xf>
    <xf numFmtId="0" fontId="4" fillId="3" borderId="29" xfId="6" applyFont="1" applyFill="1" applyBorder="1" applyAlignment="1" applyProtection="1">
      <alignment horizontal="center" vertical="center" wrapText="1"/>
      <protection locked="0"/>
    </xf>
    <xf numFmtId="164" fontId="4" fillId="2" borderId="28" xfId="6" applyNumberFormat="1" applyFont="1" applyFill="1" applyBorder="1" applyAlignment="1">
      <alignment horizontal="center" vertical="center" wrapText="1"/>
    </xf>
    <xf numFmtId="164" fontId="4" fillId="2" borderId="29" xfId="6" applyNumberFormat="1" applyFont="1" applyFill="1" applyBorder="1" applyAlignment="1">
      <alignment horizontal="center" vertical="center" wrapText="1"/>
    </xf>
    <xf numFmtId="0" fontId="4" fillId="3" borderId="25" xfId="6" applyFont="1" applyFill="1" applyBorder="1" applyAlignment="1" applyProtection="1">
      <alignment horizontal="center" vertical="center" wrapText="1"/>
      <protection locked="0"/>
    </xf>
    <xf numFmtId="0" fontId="4" fillId="3" borderId="26" xfId="6" applyFont="1" applyFill="1" applyBorder="1" applyAlignment="1" applyProtection="1">
      <alignment horizontal="center" vertical="center" wrapText="1"/>
      <protection locked="0"/>
    </xf>
    <xf numFmtId="0" fontId="4" fillId="3" borderId="27" xfId="6" applyFont="1" applyFill="1" applyBorder="1" applyAlignment="1" applyProtection="1">
      <alignment horizontal="center" vertical="center" wrapText="1"/>
      <protection locked="0"/>
    </xf>
    <xf numFmtId="0" fontId="4" fillId="2" borderId="9" xfId="6" applyFont="1" applyFill="1" applyBorder="1" applyAlignment="1">
      <alignment horizontal="center" wrapText="1"/>
    </xf>
    <xf numFmtId="0" fontId="1" fillId="3" borderId="8" xfId="6" applyFill="1" applyBorder="1" applyAlignment="1" applyProtection="1">
      <alignment horizontal="center"/>
      <protection locked="0"/>
    </xf>
    <xf numFmtId="0" fontId="4" fillId="2" borderId="1" xfId="6" applyFont="1" applyFill="1" applyBorder="1" applyAlignment="1">
      <alignment horizontal="center"/>
    </xf>
    <xf numFmtId="2" fontId="4" fillId="5" borderId="6" xfId="6" applyNumberFormat="1" applyFont="1" applyFill="1" applyBorder="1" applyAlignment="1">
      <alignment horizontal="center"/>
    </xf>
    <xf numFmtId="0" fontId="4" fillId="2" borderId="20" xfId="6" applyFont="1" applyFill="1" applyBorder="1" applyAlignment="1">
      <alignment horizontal="center" wrapText="1"/>
    </xf>
    <xf numFmtId="165" fontId="17" fillId="2" borderId="2" xfId="6" applyNumberFormat="1" applyFont="1" applyFill="1" applyBorder="1" applyAlignment="1">
      <alignment horizontal="center" vertical="top" wrapText="1"/>
    </xf>
    <xf numFmtId="0" fontId="4" fillId="3" borderId="6" xfId="6" applyFont="1" applyFill="1" applyBorder="1" applyAlignment="1">
      <alignment horizontal="left"/>
    </xf>
    <xf numFmtId="0" fontId="4" fillId="3" borderId="6" xfId="6" applyFont="1" applyFill="1" applyBorder="1" applyAlignment="1">
      <alignment horizontal="center"/>
    </xf>
    <xf numFmtId="0" fontId="1" fillId="2" borderId="12" xfId="6" applyFill="1" applyBorder="1" applyAlignment="1">
      <alignment horizontal="center" vertical="top" wrapText="1"/>
    </xf>
    <xf numFmtId="0" fontId="1" fillId="2" borderId="0" xfId="6" applyFill="1" applyAlignment="1">
      <alignment horizontal="center" vertical="top" wrapText="1"/>
    </xf>
    <xf numFmtId="0" fontId="4" fillId="2" borderId="12" xfId="6" applyFont="1" applyFill="1" applyBorder="1" applyAlignment="1">
      <alignment horizontal="center"/>
    </xf>
    <xf numFmtId="0" fontId="4" fillId="2" borderId="4" xfId="6" applyFont="1" applyFill="1" applyBorder="1" applyAlignment="1">
      <alignment horizontal="center"/>
    </xf>
    <xf numFmtId="165" fontId="17" fillId="2" borderId="12" xfId="6" applyNumberFormat="1" applyFont="1" applyFill="1" applyBorder="1" applyAlignment="1">
      <alignment horizontal="center" vertical="top" wrapText="1"/>
    </xf>
    <xf numFmtId="0" fontId="1" fillId="2" borderId="2" xfId="6" applyFill="1" applyBorder="1" applyAlignment="1">
      <alignment horizontal="center"/>
    </xf>
    <xf numFmtId="0" fontId="4" fillId="2" borderId="13" xfId="6" applyFont="1" applyFill="1" applyBorder="1" applyAlignment="1">
      <alignment horizontal="right"/>
    </xf>
    <xf numFmtId="0" fontId="17" fillId="2" borderId="2" xfId="6" applyFont="1" applyFill="1" applyBorder="1" applyAlignment="1">
      <alignment horizontal="center"/>
    </xf>
    <xf numFmtId="2" fontId="9" fillId="2" borderId="0" xfId="6" applyNumberFormat="1" applyFont="1" applyFill="1" applyAlignment="1">
      <alignment horizontal="center"/>
    </xf>
    <xf numFmtId="0" fontId="1" fillId="3" borderId="8" xfId="6" applyFill="1" applyBorder="1" applyAlignment="1">
      <alignment horizontal="center"/>
    </xf>
    <xf numFmtId="0" fontId="1" fillId="2" borderId="0" xfId="6" applyFill="1" applyAlignment="1">
      <alignment horizontal="center"/>
    </xf>
  </cellXfs>
  <cellStyles count="8">
    <cellStyle name="Comma" xfId="1" builtinId="3"/>
    <cellStyle name="Comma 2" xfId="2" xr:uid="{00000000-0005-0000-0000-000001000000}"/>
    <cellStyle name="Hyperlink" xfId="3" builtinId="8"/>
    <cellStyle name="Normal" xfId="0" builtinId="0"/>
    <cellStyle name="Normal 2" xfId="6" xr:uid="{24805A6F-7715-5040-AED1-4EA59A378D6B}"/>
    <cellStyle name="Percent" xfId="4" builtinId="5"/>
    <cellStyle name="Percent 2" xfId="5" xr:uid="{00000000-0005-0000-0000-000005000000}"/>
    <cellStyle name="Percent 2 2" xfId="7" xr:uid="{55B721AE-C905-B14D-8A3F-2638893D7B4F}"/>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2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2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Chosen Se(D+)</a:t>
            </a:r>
          </a:p>
        </c:rich>
      </c:tx>
      <c:layout>
        <c:manualLayout>
          <c:xMode val="edge"/>
          <c:yMode val="edge"/>
          <c:x val="0.26470686164229473"/>
          <c:y val="4.6242636337124526E-2"/>
        </c:manualLayout>
      </c:layout>
      <c:overlay val="0"/>
      <c:spPr>
        <a:noFill/>
        <a:ln w="25400">
          <a:noFill/>
        </a:ln>
      </c:spPr>
    </c:title>
    <c:autoTitleDeleted val="0"/>
    <c:plotArea>
      <c:layout>
        <c:manualLayout>
          <c:layoutTarget val="inner"/>
          <c:xMode val="edge"/>
          <c:yMode val="edge"/>
          <c:x val="0.14705952751382273"/>
          <c:y val="0.20231213872832371"/>
          <c:w val="0.79902343282510357"/>
          <c:h val="0.4450867052023121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Misc'!$AI$29:$AI$54</c:f>
              <c:numCache>
                <c:formatCode>General</c:formatCode>
                <c:ptCount val="26"/>
                <c:pt idx="0">
                  <c:v>0.50000000000000011</c:v>
                </c:pt>
                <c:pt idx="1">
                  <c:v>0.52000000000000013</c:v>
                </c:pt>
                <c:pt idx="2">
                  <c:v>0.54000000000000015</c:v>
                </c:pt>
                <c:pt idx="3">
                  <c:v>0.56000000000000016</c:v>
                </c:pt>
                <c:pt idx="4">
                  <c:v>0.58000000000000018</c:v>
                </c:pt>
                <c:pt idx="5">
                  <c:v>0.6000000000000002</c:v>
                </c:pt>
                <c:pt idx="6">
                  <c:v>0.62000000000000022</c:v>
                </c:pt>
                <c:pt idx="7">
                  <c:v>0.64000000000000024</c:v>
                </c:pt>
                <c:pt idx="8">
                  <c:v>0.66000000000000025</c:v>
                </c:pt>
                <c:pt idx="9">
                  <c:v>0.68000000000000027</c:v>
                </c:pt>
                <c:pt idx="10">
                  <c:v>0.70000000000000029</c:v>
                </c:pt>
                <c:pt idx="11">
                  <c:v>0.72000000000000031</c:v>
                </c:pt>
                <c:pt idx="12">
                  <c:v>0.74000000000000032</c:v>
                </c:pt>
                <c:pt idx="13">
                  <c:v>0.76000000000000034</c:v>
                </c:pt>
                <c:pt idx="14">
                  <c:v>0.78000000000000036</c:v>
                </c:pt>
                <c:pt idx="15">
                  <c:v>0.80000000000000038</c:v>
                </c:pt>
                <c:pt idx="16">
                  <c:v>0.8200000000000004</c:v>
                </c:pt>
                <c:pt idx="17">
                  <c:v>0.84000000000000041</c:v>
                </c:pt>
                <c:pt idx="18">
                  <c:v>0.86000000000000043</c:v>
                </c:pt>
                <c:pt idx="19">
                  <c:v>0.88000000000000045</c:v>
                </c:pt>
                <c:pt idx="20">
                  <c:v>0.90000000000000047</c:v>
                </c:pt>
                <c:pt idx="21">
                  <c:v>0.92000000000000048</c:v>
                </c:pt>
                <c:pt idx="22">
                  <c:v>0.9400000000000005</c:v>
                </c:pt>
                <c:pt idx="23">
                  <c:v>0.96000000000000052</c:v>
                </c:pt>
                <c:pt idx="24">
                  <c:v>0.98000000000000054</c:v>
                </c:pt>
                <c:pt idx="25">
                  <c:v>1</c:v>
                </c:pt>
              </c:numCache>
            </c:numRef>
          </c:cat>
          <c:val>
            <c:numRef>
              <c:f>'Exp Misc'!$AK$29:$AK$54</c:f>
              <c:numCache>
                <c:formatCode>General</c:formatCode>
                <c:ptCount val="26"/>
                <c:pt idx="0">
                  <c:v>0</c:v>
                </c:pt>
                <c:pt idx="1">
                  <c:v>0</c:v>
                </c:pt>
                <c:pt idx="2">
                  <c:v>0</c:v>
                </c:pt>
                <c:pt idx="3">
                  <c:v>0</c:v>
                </c:pt>
                <c:pt idx="4">
                  <c:v>0</c:v>
                </c:pt>
                <c:pt idx="5">
                  <c:v>1</c:v>
                </c:pt>
                <c:pt idx="6">
                  <c:v>1</c:v>
                </c:pt>
                <c:pt idx="7">
                  <c:v>4</c:v>
                </c:pt>
                <c:pt idx="8">
                  <c:v>5</c:v>
                </c:pt>
                <c:pt idx="9">
                  <c:v>17</c:v>
                </c:pt>
                <c:pt idx="10">
                  <c:v>35</c:v>
                </c:pt>
                <c:pt idx="11">
                  <c:v>57</c:v>
                </c:pt>
                <c:pt idx="12">
                  <c:v>82</c:v>
                </c:pt>
                <c:pt idx="13">
                  <c:v>143</c:v>
                </c:pt>
                <c:pt idx="14">
                  <c:v>167</c:v>
                </c:pt>
                <c:pt idx="15">
                  <c:v>148</c:v>
                </c:pt>
                <c:pt idx="16">
                  <c:v>126</c:v>
                </c:pt>
                <c:pt idx="17">
                  <c:v>95</c:v>
                </c:pt>
                <c:pt idx="18">
                  <c:v>65</c:v>
                </c:pt>
                <c:pt idx="19">
                  <c:v>36</c:v>
                </c:pt>
                <c:pt idx="20">
                  <c:v>15</c:v>
                </c:pt>
                <c:pt idx="21">
                  <c:v>2</c:v>
                </c:pt>
                <c:pt idx="22">
                  <c:v>2</c:v>
                </c:pt>
                <c:pt idx="23">
                  <c:v>0</c:v>
                </c:pt>
                <c:pt idx="24">
                  <c:v>0</c:v>
                </c:pt>
                <c:pt idx="25">
                  <c:v>0</c:v>
                </c:pt>
              </c:numCache>
            </c:numRef>
          </c:val>
          <c:extLst>
            <c:ext xmlns:c16="http://schemas.microsoft.com/office/drawing/2014/chart" uri="{C3380CC4-5D6E-409C-BE32-E72D297353CC}">
              <c16:uniqueId val="{00000000-AAE8-5C4A-804C-1144888C6508}"/>
            </c:ext>
          </c:extLst>
        </c:ser>
        <c:dLbls>
          <c:showLegendKey val="0"/>
          <c:showVal val="0"/>
          <c:showCatName val="0"/>
          <c:showSerName val="0"/>
          <c:showPercent val="0"/>
          <c:showBubbleSize val="0"/>
        </c:dLbls>
        <c:gapWidth val="0"/>
        <c:axId val="1408564975"/>
        <c:axId val="1"/>
      </c:barChart>
      <c:catAx>
        <c:axId val="1408564975"/>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25"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408564975"/>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Chosen Se(D-)</a:t>
            </a:r>
          </a:p>
        </c:rich>
      </c:tx>
      <c:layout>
        <c:manualLayout>
          <c:xMode val="edge"/>
          <c:yMode val="edge"/>
          <c:x val="0.26767759328996915"/>
          <c:y val="4.5977252843394573E-2"/>
        </c:manualLayout>
      </c:layout>
      <c:overlay val="0"/>
      <c:spPr>
        <a:noFill/>
        <a:ln w="25400">
          <a:noFill/>
        </a:ln>
      </c:spPr>
    </c:title>
    <c:autoTitleDeleted val="0"/>
    <c:plotArea>
      <c:layout>
        <c:manualLayout>
          <c:layoutTarget val="inner"/>
          <c:xMode val="edge"/>
          <c:yMode val="edge"/>
          <c:x val="0.1515158988118431"/>
          <c:y val="0.20115055423039147"/>
          <c:w val="0.79293320378197885"/>
          <c:h val="0.44827837799915815"/>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Misc'!$AI$29:$AI$54</c:f>
              <c:numCache>
                <c:formatCode>General</c:formatCode>
                <c:ptCount val="26"/>
                <c:pt idx="0">
                  <c:v>0.50000000000000011</c:v>
                </c:pt>
                <c:pt idx="1">
                  <c:v>0.52000000000000013</c:v>
                </c:pt>
                <c:pt idx="2">
                  <c:v>0.54000000000000015</c:v>
                </c:pt>
                <c:pt idx="3">
                  <c:v>0.56000000000000016</c:v>
                </c:pt>
                <c:pt idx="4">
                  <c:v>0.58000000000000018</c:v>
                </c:pt>
                <c:pt idx="5">
                  <c:v>0.6000000000000002</c:v>
                </c:pt>
                <c:pt idx="6">
                  <c:v>0.62000000000000022</c:v>
                </c:pt>
                <c:pt idx="7">
                  <c:v>0.64000000000000024</c:v>
                </c:pt>
                <c:pt idx="8">
                  <c:v>0.66000000000000025</c:v>
                </c:pt>
                <c:pt idx="9">
                  <c:v>0.68000000000000027</c:v>
                </c:pt>
                <c:pt idx="10">
                  <c:v>0.70000000000000029</c:v>
                </c:pt>
                <c:pt idx="11">
                  <c:v>0.72000000000000031</c:v>
                </c:pt>
                <c:pt idx="12">
                  <c:v>0.74000000000000032</c:v>
                </c:pt>
                <c:pt idx="13">
                  <c:v>0.76000000000000034</c:v>
                </c:pt>
                <c:pt idx="14">
                  <c:v>0.78000000000000036</c:v>
                </c:pt>
                <c:pt idx="15">
                  <c:v>0.80000000000000038</c:v>
                </c:pt>
                <c:pt idx="16">
                  <c:v>0.8200000000000004</c:v>
                </c:pt>
                <c:pt idx="17">
                  <c:v>0.84000000000000041</c:v>
                </c:pt>
                <c:pt idx="18">
                  <c:v>0.86000000000000043</c:v>
                </c:pt>
                <c:pt idx="19">
                  <c:v>0.88000000000000045</c:v>
                </c:pt>
                <c:pt idx="20">
                  <c:v>0.90000000000000047</c:v>
                </c:pt>
                <c:pt idx="21">
                  <c:v>0.92000000000000048</c:v>
                </c:pt>
                <c:pt idx="22">
                  <c:v>0.9400000000000005</c:v>
                </c:pt>
                <c:pt idx="23">
                  <c:v>0.96000000000000052</c:v>
                </c:pt>
                <c:pt idx="24">
                  <c:v>0.98000000000000054</c:v>
                </c:pt>
                <c:pt idx="25">
                  <c:v>1</c:v>
                </c:pt>
              </c:numCache>
            </c:numRef>
          </c:cat>
          <c:val>
            <c:numRef>
              <c:f>'Exp Misc'!$AJ$29:$AJ$54</c:f>
              <c:numCache>
                <c:formatCode>General</c:formatCode>
                <c:ptCount val="26"/>
                <c:pt idx="0">
                  <c:v>0</c:v>
                </c:pt>
                <c:pt idx="1">
                  <c:v>0</c:v>
                </c:pt>
                <c:pt idx="2">
                  <c:v>0</c:v>
                </c:pt>
                <c:pt idx="3">
                  <c:v>0</c:v>
                </c:pt>
                <c:pt idx="4">
                  <c:v>0</c:v>
                </c:pt>
                <c:pt idx="5">
                  <c:v>1</c:v>
                </c:pt>
                <c:pt idx="6">
                  <c:v>1</c:v>
                </c:pt>
                <c:pt idx="7">
                  <c:v>4</c:v>
                </c:pt>
                <c:pt idx="8">
                  <c:v>5</c:v>
                </c:pt>
                <c:pt idx="9">
                  <c:v>17</c:v>
                </c:pt>
                <c:pt idx="10">
                  <c:v>35</c:v>
                </c:pt>
                <c:pt idx="11">
                  <c:v>57</c:v>
                </c:pt>
                <c:pt idx="12">
                  <c:v>82</c:v>
                </c:pt>
                <c:pt idx="13">
                  <c:v>143</c:v>
                </c:pt>
                <c:pt idx="14">
                  <c:v>167</c:v>
                </c:pt>
                <c:pt idx="15">
                  <c:v>148</c:v>
                </c:pt>
                <c:pt idx="16">
                  <c:v>126</c:v>
                </c:pt>
                <c:pt idx="17">
                  <c:v>95</c:v>
                </c:pt>
                <c:pt idx="18">
                  <c:v>65</c:v>
                </c:pt>
                <c:pt idx="19">
                  <c:v>36</c:v>
                </c:pt>
                <c:pt idx="20">
                  <c:v>15</c:v>
                </c:pt>
                <c:pt idx="21">
                  <c:v>2</c:v>
                </c:pt>
                <c:pt idx="22">
                  <c:v>2</c:v>
                </c:pt>
                <c:pt idx="23">
                  <c:v>0</c:v>
                </c:pt>
                <c:pt idx="24">
                  <c:v>0</c:v>
                </c:pt>
                <c:pt idx="25">
                  <c:v>0</c:v>
                </c:pt>
              </c:numCache>
            </c:numRef>
          </c:val>
          <c:extLst>
            <c:ext xmlns:c16="http://schemas.microsoft.com/office/drawing/2014/chart" uri="{C3380CC4-5D6E-409C-BE32-E72D297353CC}">
              <c16:uniqueId val="{00000000-8FB9-854B-8607-E74F9BCFFE7D}"/>
            </c:ext>
          </c:extLst>
        </c:ser>
        <c:dLbls>
          <c:showLegendKey val="0"/>
          <c:showVal val="0"/>
          <c:showCatName val="0"/>
          <c:showSerName val="0"/>
          <c:showPercent val="0"/>
          <c:showBubbleSize val="0"/>
        </c:dLbls>
        <c:gapWidth val="0"/>
        <c:axId val="1408594735"/>
        <c:axId val="1"/>
      </c:barChart>
      <c:catAx>
        <c:axId val="1408594735"/>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25"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408594735"/>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Chosen Sp(D+)</a:t>
            </a:r>
          </a:p>
        </c:rich>
      </c:tx>
      <c:layout>
        <c:manualLayout>
          <c:xMode val="edge"/>
          <c:yMode val="edge"/>
          <c:x val="0.25510226902110611"/>
          <c:y val="4.4198916624783605E-2"/>
        </c:manualLayout>
      </c:layout>
      <c:overlay val="0"/>
      <c:spPr>
        <a:noFill/>
        <a:ln w="25400">
          <a:noFill/>
        </a:ln>
      </c:spPr>
    </c:title>
    <c:autoTitleDeleted val="0"/>
    <c:plotArea>
      <c:layout>
        <c:manualLayout>
          <c:layoutTarget val="inner"/>
          <c:xMode val="edge"/>
          <c:yMode val="edge"/>
          <c:x val="0.15306160580159289"/>
          <c:y val="0.19337068739934229"/>
          <c:w val="0.79081829664156333"/>
          <c:h val="0.4696145265412599"/>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Misc'!$AI$29:$AI$54</c:f>
              <c:numCache>
                <c:formatCode>General</c:formatCode>
                <c:ptCount val="26"/>
                <c:pt idx="0">
                  <c:v>0.50000000000000011</c:v>
                </c:pt>
                <c:pt idx="1">
                  <c:v>0.52000000000000013</c:v>
                </c:pt>
                <c:pt idx="2">
                  <c:v>0.54000000000000015</c:v>
                </c:pt>
                <c:pt idx="3">
                  <c:v>0.56000000000000016</c:v>
                </c:pt>
                <c:pt idx="4">
                  <c:v>0.58000000000000018</c:v>
                </c:pt>
                <c:pt idx="5">
                  <c:v>0.6000000000000002</c:v>
                </c:pt>
                <c:pt idx="6">
                  <c:v>0.62000000000000022</c:v>
                </c:pt>
                <c:pt idx="7">
                  <c:v>0.64000000000000024</c:v>
                </c:pt>
                <c:pt idx="8">
                  <c:v>0.66000000000000025</c:v>
                </c:pt>
                <c:pt idx="9">
                  <c:v>0.68000000000000027</c:v>
                </c:pt>
                <c:pt idx="10">
                  <c:v>0.70000000000000029</c:v>
                </c:pt>
                <c:pt idx="11">
                  <c:v>0.72000000000000031</c:v>
                </c:pt>
                <c:pt idx="12">
                  <c:v>0.74000000000000032</c:v>
                </c:pt>
                <c:pt idx="13">
                  <c:v>0.76000000000000034</c:v>
                </c:pt>
                <c:pt idx="14">
                  <c:v>0.78000000000000036</c:v>
                </c:pt>
                <c:pt idx="15">
                  <c:v>0.80000000000000038</c:v>
                </c:pt>
                <c:pt idx="16">
                  <c:v>0.8200000000000004</c:v>
                </c:pt>
                <c:pt idx="17">
                  <c:v>0.84000000000000041</c:v>
                </c:pt>
                <c:pt idx="18">
                  <c:v>0.86000000000000043</c:v>
                </c:pt>
                <c:pt idx="19">
                  <c:v>0.88000000000000045</c:v>
                </c:pt>
                <c:pt idx="20">
                  <c:v>0.90000000000000047</c:v>
                </c:pt>
                <c:pt idx="21">
                  <c:v>0.92000000000000048</c:v>
                </c:pt>
                <c:pt idx="22">
                  <c:v>0.9400000000000005</c:v>
                </c:pt>
                <c:pt idx="23">
                  <c:v>0.96000000000000052</c:v>
                </c:pt>
                <c:pt idx="24">
                  <c:v>0.98000000000000054</c:v>
                </c:pt>
                <c:pt idx="25">
                  <c:v>1</c:v>
                </c:pt>
              </c:numCache>
            </c:numRef>
          </c:cat>
          <c:val>
            <c:numRef>
              <c:f>'Exp Misc'!$AM$29:$AM$54</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c:v>
                </c:pt>
                <c:pt idx="22">
                  <c:v>5</c:v>
                </c:pt>
                <c:pt idx="23">
                  <c:v>55</c:v>
                </c:pt>
                <c:pt idx="24">
                  <c:v>206</c:v>
                </c:pt>
                <c:pt idx="25">
                  <c:v>733</c:v>
                </c:pt>
              </c:numCache>
            </c:numRef>
          </c:val>
          <c:extLst>
            <c:ext xmlns:c16="http://schemas.microsoft.com/office/drawing/2014/chart" uri="{C3380CC4-5D6E-409C-BE32-E72D297353CC}">
              <c16:uniqueId val="{00000000-2542-F84B-8AFF-FBF01C9CDEAE}"/>
            </c:ext>
          </c:extLst>
        </c:ser>
        <c:dLbls>
          <c:showLegendKey val="0"/>
          <c:showVal val="0"/>
          <c:showCatName val="0"/>
          <c:showSerName val="0"/>
          <c:showPercent val="0"/>
          <c:showBubbleSize val="0"/>
        </c:dLbls>
        <c:gapWidth val="0"/>
        <c:axId val="1434521007"/>
        <c:axId val="1"/>
      </c:barChart>
      <c:catAx>
        <c:axId val="1434521007"/>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34521007"/>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25" b="1" i="0" u="none" strike="noStrike" baseline="0">
                <a:solidFill>
                  <a:srgbClr val="000000"/>
                </a:solidFill>
                <a:latin typeface="Arial"/>
                <a:ea typeface="Arial"/>
                <a:cs typeface="Arial"/>
              </a:defRPr>
            </a:pPr>
            <a:r>
              <a:rPr lang="en-US"/>
              <a:t>Chosen Sp(D-)</a:t>
            </a:r>
          </a:p>
        </c:rich>
      </c:tx>
      <c:layout>
        <c:manualLayout>
          <c:xMode val="edge"/>
          <c:yMode val="edge"/>
          <c:x val="0.25120881537852463"/>
          <c:y val="4.3715865304071032E-2"/>
        </c:manualLayout>
      </c:layout>
      <c:overlay val="0"/>
      <c:spPr>
        <a:noFill/>
        <a:ln w="25400">
          <a:noFill/>
        </a:ln>
      </c:spPr>
    </c:title>
    <c:autoTitleDeleted val="0"/>
    <c:plotArea>
      <c:layout>
        <c:manualLayout>
          <c:layoutTarget val="inner"/>
          <c:xMode val="edge"/>
          <c:yMode val="edge"/>
          <c:x val="0.14492821995876717"/>
          <c:y val="0.19672236126601597"/>
          <c:w val="0.80193615043851163"/>
          <c:h val="0.464483352989204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Misc'!$AI$29:$AI$54</c:f>
              <c:numCache>
                <c:formatCode>General</c:formatCode>
                <c:ptCount val="26"/>
                <c:pt idx="0">
                  <c:v>0.50000000000000011</c:v>
                </c:pt>
                <c:pt idx="1">
                  <c:v>0.52000000000000013</c:v>
                </c:pt>
                <c:pt idx="2">
                  <c:v>0.54000000000000015</c:v>
                </c:pt>
                <c:pt idx="3">
                  <c:v>0.56000000000000016</c:v>
                </c:pt>
                <c:pt idx="4">
                  <c:v>0.58000000000000018</c:v>
                </c:pt>
                <c:pt idx="5">
                  <c:v>0.6000000000000002</c:v>
                </c:pt>
                <c:pt idx="6">
                  <c:v>0.62000000000000022</c:v>
                </c:pt>
                <c:pt idx="7">
                  <c:v>0.64000000000000024</c:v>
                </c:pt>
                <c:pt idx="8">
                  <c:v>0.66000000000000025</c:v>
                </c:pt>
                <c:pt idx="9">
                  <c:v>0.68000000000000027</c:v>
                </c:pt>
                <c:pt idx="10">
                  <c:v>0.70000000000000029</c:v>
                </c:pt>
                <c:pt idx="11">
                  <c:v>0.72000000000000031</c:v>
                </c:pt>
                <c:pt idx="12">
                  <c:v>0.74000000000000032</c:v>
                </c:pt>
                <c:pt idx="13">
                  <c:v>0.76000000000000034</c:v>
                </c:pt>
                <c:pt idx="14">
                  <c:v>0.78000000000000036</c:v>
                </c:pt>
                <c:pt idx="15">
                  <c:v>0.80000000000000038</c:v>
                </c:pt>
                <c:pt idx="16">
                  <c:v>0.8200000000000004</c:v>
                </c:pt>
                <c:pt idx="17">
                  <c:v>0.84000000000000041</c:v>
                </c:pt>
                <c:pt idx="18">
                  <c:v>0.86000000000000043</c:v>
                </c:pt>
                <c:pt idx="19">
                  <c:v>0.88000000000000045</c:v>
                </c:pt>
                <c:pt idx="20">
                  <c:v>0.90000000000000047</c:v>
                </c:pt>
                <c:pt idx="21">
                  <c:v>0.92000000000000048</c:v>
                </c:pt>
                <c:pt idx="22">
                  <c:v>0.9400000000000005</c:v>
                </c:pt>
                <c:pt idx="23">
                  <c:v>0.96000000000000052</c:v>
                </c:pt>
                <c:pt idx="24">
                  <c:v>0.98000000000000054</c:v>
                </c:pt>
                <c:pt idx="25">
                  <c:v>1</c:v>
                </c:pt>
              </c:numCache>
            </c:numRef>
          </c:cat>
          <c:val>
            <c:numRef>
              <c:f>'Exp Misc'!$AL$29:$AL$54</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c:v>
                </c:pt>
                <c:pt idx="22">
                  <c:v>5</c:v>
                </c:pt>
                <c:pt idx="23">
                  <c:v>55</c:v>
                </c:pt>
                <c:pt idx="24">
                  <c:v>206</c:v>
                </c:pt>
                <c:pt idx="25">
                  <c:v>733</c:v>
                </c:pt>
              </c:numCache>
            </c:numRef>
          </c:val>
          <c:extLst>
            <c:ext xmlns:c16="http://schemas.microsoft.com/office/drawing/2014/chart" uri="{C3380CC4-5D6E-409C-BE32-E72D297353CC}">
              <c16:uniqueId val="{00000000-0455-964B-8102-9D7557B42692}"/>
            </c:ext>
          </c:extLst>
        </c:ser>
        <c:dLbls>
          <c:showLegendKey val="0"/>
          <c:showVal val="0"/>
          <c:showCatName val="0"/>
          <c:showSerName val="0"/>
          <c:showPercent val="0"/>
          <c:showBubbleSize val="0"/>
        </c:dLbls>
        <c:gapWidth val="0"/>
        <c:axId val="1414432943"/>
        <c:axId val="1"/>
      </c:barChart>
      <c:catAx>
        <c:axId val="1414432943"/>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5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1414432943"/>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'Exp Misc'!$AU$2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'Exp Misc'!$AW$3:$AW$5</c:f>
                <c:numCache>
                  <c:formatCode>General</c:formatCode>
                  <c:ptCount val="3"/>
                  <c:pt idx="0">
                    <c:v>0.12799040749439616</c:v>
                  </c:pt>
                  <c:pt idx="1">
                    <c:v>3.0428476373320912E-3</c:v>
                  </c:pt>
                  <c:pt idx="2">
                    <c:v>0.13979049665552057</c:v>
                  </c:pt>
                </c:numCache>
              </c:numRef>
            </c:plus>
            <c:minus>
              <c:numRef>
                <c:f>'Exp Misc'!$AV$3:$AV$5</c:f>
                <c:numCache>
                  <c:formatCode>General</c:formatCode>
                  <c:ptCount val="3"/>
                  <c:pt idx="0">
                    <c:v>0.11300782936665954</c:v>
                  </c:pt>
                  <c:pt idx="1">
                    <c:v>1.4638634778805004E-2</c:v>
                  </c:pt>
                  <c:pt idx="2">
                    <c:v>0.13762009710757772</c:v>
                  </c:pt>
                </c:numCache>
              </c:numRef>
            </c:minus>
            <c:spPr>
              <a:noFill/>
              <a:ln w="19050" cap="flat" cmpd="sng" algn="ctr">
                <a:solidFill>
                  <a:schemeClr val="tx1">
                    <a:lumMod val="65000"/>
                    <a:lumOff val="35000"/>
                  </a:schemeClr>
                </a:solidFill>
                <a:round/>
              </a:ln>
              <a:effectLst/>
            </c:spPr>
          </c:errBars>
          <c:xVal>
            <c:numRef>
              <c:f>'Exp Misc'!$AU$3:$AU$5</c:f>
              <c:numCache>
                <c:formatCode>General</c:formatCode>
                <c:ptCount val="3"/>
                <c:pt idx="0">
                  <c:v>0.96538246004000106</c:v>
                </c:pt>
                <c:pt idx="1">
                  <c:v>0.96107182082202613</c:v>
                </c:pt>
                <c:pt idx="2">
                  <c:v>0.96060438485007449</c:v>
                </c:pt>
              </c:numCache>
            </c:numRef>
          </c:xVal>
          <c:yVal>
            <c:numRef>
              <c:f>'Exp Misc'!$AZ$3:$AZ$5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4153-4DB7-B2BA-8753F6C0EF7D}"/>
            </c:ext>
          </c:extLst>
        </c:ser>
        <c:ser>
          <c:idx val="1"/>
          <c:order val="1"/>
          <c:tx>
            <c:strRef>
              <c:f>'Exp Misc'!$AV$7</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D67915A4-279A-458F-AD14-32B33D854C3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4153-4DB7-B2BA-8753F6C0EF7D}"/>
                </c:ext>
              </c:extLst>
            </c:dLbl>
            <c:dLbl>
              <c:idx val="1"/>
              <c:layout>
                <c:manualLayout>
                  <c:x val="-0.56304918360115297"/>
                  <c:y val="-2.4117389017283305E-3"/>
                </c:manualLayout>
              </c:layout>
              <c:tx>
                <c:rich>
                  <a:bodyPr/>
                  <a:lstStyle/>
                  <a:p>
                    <a:fld id="{FCD682E2-C30D-480B-B91D-AA726B38092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4153-4DB7-B2BA-8753F6C0EF7D}"/>
                </c:ext>
              </c:extLst>
            </c:dLbl>
            <c:dLbl>
              <c:idx val="2"/>
              <c:layout>
                <c:manualLayout>
                  <c:x val="-0.56569439184264037"/>
                  <c:y val="-7.2352167051849539E-3"/>
                </c:manualLayout>
              </c:layout>
              <c:tx>
                <c:rich>
                  <a:bodyPr/>
                  <a:lstStyle/>
                  <a:p>
                    <a:fld id="{2C89A8E0-A41B-454A-916E-3DA74832F78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4153-4DB7-B2BA-8753F6C0EF7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'Exp Misc'!$AV$3:$AV$5</c:f>
              <c:numCache>
                <c:formatCode>General</c:formatCode>
                <c:ptCount val="3"/>
                <c:pt idx="0">
                  <c:v>0.11300782936665954</c:v>
                </c:pt>
                <c:pt idx="1">
                  <c:v>1.4638634778805004E-2</c:v>
                </c:pt>
                <c:pt idx="2">
                  <c:v>0.13762009710757772</c:v>
                </c:pt>
              </c:numCache>
            </c:numRef>
          </c:xVal>
          <c:yVal>
            <c:numRef>
              <c:f>'Exp Misc'!$AZ$3:$AZ$5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10-4153-4DB7-B2BA-8753F6C0EF7D}"/>
            </c:ext>
          </c:extLst>
        </c:ser>
        <c:ser>
          <c:idx val="2"/>
          <c:order val="2"/>
          <c:tx>
            <c:strRef>
              <c:f>'Exp Misc'!$AW$2</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304DC307-A7E5-4F9E-8BF3-8162BCCC89EC}"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11-4153-4DB7-B2BA-8753F6C0EF7D}"/>
                </c:ext>
              </c:extLst>
            </c:dLbl>
            <c:dLbl>
              <c:idx val="1"/>
              <c:tx>
                <c:rich>
                  <a:bodyPr/>
                  <a:lstStyle/>
                  <a:p>
                    <a:fld id="{C1798A24-2223-4318-847F-AC3E3F73D2C5}"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4153-4DB7-B2BA-8753F6C0EF7D}"/>
                </c:ext>
              </c:extLst>
            </c:dLbl>
            <c:dLbl>
              <c:idx val="2"/>
              <c:tx>
                <c:rich>
                  <a:bodyPr/>
                  <a:lstStyle/>
                  <a:p>
                    <a:fld id="{A4834AAF-0608-40AD-A36C-6A141435434C}"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4153-4DB7-B2BA-8753F6C0EF7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'Exp Misc'!$AW$3:$AW$5</c:f>
              <c:numCache>
                <c:formatCode>General</c:formatCode>
                <c:ptCount val="3"/>
                <c:pt idx="0">
                  <c:v>0.12799040749439616</c:v>
                </c:pt>
                <c:pt idx="1">
                  <c:v>3.0428476373320912E-3</c:v>
                </c:pt>
                <c:pt idx="2">
                  <c:v>0.13979049665552057</c:v>
                </c:pt>
              </c:numCache>
            </c:numRef>
          </c:xVal>
          <c:yVal>
            <c:numRef>
              <c:f>'Exp Misc'!$AZ$3:$AZ$5</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20-4153-4DB7-B2BA-8753F6C0EF7D}"/>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'Exp Misc'!$AU$7</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'Exp Misc'!$AW$8:$AW$10</c:f>
                <c:numCache>
                  <c:formatCode>General</c:formatCode>
                  <c:ptCount val="3"/>
                  <c:pt idx="0">
                    <c:v>0.17097688404202416</c:v>
                  </c:pt>
                  <c:pt idx="1">
                    <c:v>3.9760056483907347E-3</c:v>
                  </c:pt>
                  <c:pt idx="2">
                    <c:v>0.19789396745077847</c:v>
                  </c:pt>
                </c:numCache>
              </c:numRef>
            </c:plus>
            <c:minus>
              <c:numRef>
                <c:f>'Exp Misc'!$AV$8:$AV$10</c:f>
                <c:numCache>
                  <c:formatCode>General</c:formatCode>
                  <c:ptCount val="3"/>
                  <c:pt idx="0">
                    <c:v>0.14499693294351768</c:v>
                  </c:pt>
                  <c:pt idx="1">
                    <c:v>1.8984919941607115E-2</c:v>
                  </c:pt>
                  <c:pt idx="2">
                    <c:v>0.16542242461870182</c:v>
                  </c:pt>
                </c:numCache>
              </c:numRef>
            </c:minus>
            <c:spPr>
              <a:noFill/>
              <a:ln w="19050" cap="flat" cmpd="sng" algn="ctr">
                <a:solidFill>
                  <a:schemeClr val="tx1">
                    <a:lumMod val="65000"/>
                    <a:lumOff val="35000"/>
                  </a:schemeClr>
                </a:solidFill>
                <a:round/>
              </a:ln>
              <a:effectLst/>
            </c:spPr>
          </c:errBars>
          <c:xVal>
            <c:numRef>
              <c:f>'Exp Misc'!$AU$8:$AU$10</c:f>
              <c:numCache>
                <c:formatCode>General</c:formatCode>
                <c:ptCount val="3"/>
                <c:pt idx="0">
                  <c:v>0.95424058714868398</c:v>
                </c:pt>
                <c:pt idx="1">
                  <c:v>0.9485916416049287</c:v>
                </c:pt>
                <c:pt idx="2">
                  <c:v>0.947007713611</c:v>
                </c:pt>
              </c:numCache>
            </c:numRef>
          </c:xVal>
          <c:yVal>
            <c:numRef>
              <c:f>'Exp Misc'!$AZ$8:$AZ$10</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F190-4971-B195-5DD0677A1344}"/>
            </c:ext>
          </c:extLst>
        </c:ser>
        <c:ser>
          <c:idx val="1"/>
          <c:order val="1"/>
          <c:tx>
            <c:strRef>
              <c:f>'Exp Misc'!$AV$7</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D2198329-812C-44C3-A29F-C23DD5D1A24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F190-4971-B195-5DD0677A1344}"/>
                </c:ext>
              </c:extLst>
            </c:dLbl>
            <c:dLbl>
              <c:idx val="1"/>
              <c:layout>
                <c:manualLayout>
                  <c:x val="-0.56304918360115297"/>
                  <c:y val="-2.4117389017283305E-3"/>
                </c:manualLayout>
              </c:layout>
              <c:tx>
                <c:rich>
                  <a:bodyPr/>
                  <a:lstStyle/>
                  <a:p>
                    <a:fld id="{9C6C469F-5BEC-46F6-BA4E-8B73A091F50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F190-4971-B195-5DD0677A1344}"/>
                </c:ext>
              </c:extLst>
            </c:dLbl>
            <c:dLbl>
              <c:idx val="2"/>
              <c:layout>
                <c:manualLayout>
                  <c:x val="-0.56569439184264037"/>
                  <c:y val="-7.2352167051849539E-3"/>
                </c:manualLayout>
              </c:layout>
              <c:tx>
                <c:rich>
                  <a:bodyPr/>
                  <a:lstStyle/>
                  <a:p>
                    <a:fld id="{96AA4926-9F9D-412E-BAFF-781984626FF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F190-4971-B195-5DD0677A1344}"/>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'Exp Misc'!$AV$3:$AV$5</c:f>
              <c:numCache>
                <c:formatCode>General</c:formatCode>
                <c:ptCount val="3"/>
                <c:pt idx="0">
                  <c:v>0.11300782936665954</c:v>
                </c:pt>
                <c:pt idx="1">
                  <c:v>1.4638634778805004E-2</c:v>
                </c:pt>
                <c:pt idx="2">
                  <c:v>0.13762009710757772</c:v>
                </c:pt>
              </c:numCache>
            </c:numRef>
          </c:xVal>
          <c:yVal>
            <c:numRef>
              <c:f>'Exp Misc'!$AZ$3:$AZ$5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F190-4971-B195-5DD0677A1344}"/>
            </c:ext>
          </c:extLst>
        </c:ser>
        <c:ser>
          <c:idx val="2"/>
          <c:order val="2"/>
          <c:tx>
            <c:strRef>
              <c:f>'Exp Misc'!$AW$2</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7FE3E357-37E1-4CC6-9263-65A166C0C065}"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F190-4971-B195-5DD0677A1344}"/>
                </c:ext>
              </c:extLst>
            </c:dLbl>
            <c:dLbl>
              <c:idx val="1"/>
              <c:tx>
                <c:rich>
                  <a:bodyPr/>
                  <a:lstStyle/>
                  <a:p>
                    <a:fld id="{1E42F02B-BB17-445E-9FB8-7A1EED742315}"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F190-4971-B195-5DD0677A1344}"/>
                </c:ext>
              </c:extLst>
            </c:dLbl>
            <c:dLbl>
              <c:idx val="2"/>
              <c:tx>
                <c:rich>
                  <a:bodyPr/>
                  <a:lstStyle/>
                  <a:p>
                    <a:fld id="{EDB860E4-099B-4F26-BD7B-8B36EEDAB174}"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190-4971-B195-5DD0677A134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'Exp Misc'!$AW$3:$AW$5</c:f>
              <c:numCache>
                <c:formatCode>General</c:formatCode>
                <c:ptCount val="3"/>
                <c:pt idx="0">
                  <c:v>0.12799040749439616</c:v>
                </c:pt>
                <c:pt idx="1">
                  <c:v>3.0428476373320912E-3</c:v>
                </c:pt>
                <c:pt idx="2">
                  <c:v>0.13979049665552057</c:v>
                </c:pt>
              </c:numCache>
            </c:numRef>
          </c:xVal>
          <c:yVal>
            <c:numRef>
              <c:f>'Exp Misc'!$AZ$3:$AZ$5</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F190-4971-B195-5DD0677A1344}"/>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Chosen Se(E+)</a:t>
            </a:r>
          </a:p>
        </c:rich>
      </c:tx>
      <c:layout>
        <c:manualLayout>
          <c:xMode val="edge"/>
          <c:yMode val="edge"/>
          <c:x val="0.26630469450812322"/>
          <c:y val="4.7904395808791619E-2"/>
        </c:manualLayout>
      </c:layout>
      <c:overlay val="0"/>
      <c:spPr>
        <a:noFill/>
        <a:ln w="25400">
          <a:noFill/>
        </a:ln>
      </c:spPr>
    </c:title>
    <c:autoTitleDeleted val="0"/>
    <c:plotArea>
      <c:layout>
        <c:manualLayout>
          <c:layoutTarget val="inner"/>
          <c:xMode val="edge"/>
          <c:yMode val="edge"/>
          <c:x val="0.16304391093089476"/>
          <c:y val="0.19760479041916168"/>
          <c:w val="0.77717597543726502"/>
          <c:h val="0.43712574850299402"/>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Misc'!$AL$29:$AL$53</c:f>
              <c:numCache>
                <c:formatCode>General</c:formatCode>
                <c:ptCount val="25"/>
                <c:pt idx="0">
                  <c:v>0.50000000000000011</c:v>
                </c:pt>
                <c:pt idx="1">
                  <c:v>0.52000000000000013</c:v>
                </c:pt>
                <c:pt idx="2">
                  <c:v>0.54000000000000015</c:v>
                </c:pt>
                <c:pt idx="3">
                  <c:v>0.56000000000000016</c:v>
                </c:pt>
                <c:pt idx="4">
                  <c:v>0.58000000000000018</c:v>
                </c:pt>
                <c:pt idx="5">
                  <c:v>0.6000000000000002</c:v>
                </c:pt>
                <c:pt idx="6">
                  <c:v>0.62000000000000022</c:v>
                </c:pt>
                <c:pt idx="7">
                  <c:v>0.64000000000000024</c:v>
                </c:pt>
                <c:pt idx="8">
                  <c:v>0.66000000000000025</c:v>
                </c:pt>
                <c:pt idx="9">
                  <c:v>0.68000000000000027</c:v>
                </c:pt>
                <c:pt idx="10">
                  <c:v>0.70000000000000029</c:v>
                </c:pt>
                <c:pt idx="11">
                  <c:v>0.72000000000000031</c:v>
                </c:pt>
                <c:pt idx="12">
                  <c:v>0.74000000000000032</c:v>
                </c:pt>
                <c:pt idx="13">
                  <c:v>0.76000000000000034</c:v>
                </c:pt>
                <c:pt idx="14">
                  <c:v>0.78000000000000036</c:v>
                </c:pt>
                <c:pt idx="15">
                  <c:v>0.80000000000000038</c:v>
                </c:pt>
                <c:pt idx="16">
                  <c:v>0.8200000000000004</c:v>
                </c:pt>
                <c:pt idx="17">
                  <c:v>0.84000000000000041</c:v>
                </c:pt>
                <c:pt idx="18">
                  <c:v>0.86000000000000043</c:v>
                </c:pt>
                <c:pt idx="19">
                  <c:v>0.88000000000000045</c:v>
                </c:pt>
                <c:pt idx="20">
                  <c:v>0.90000000000000047</c:v>
                </c:pt>
                <c:pt idx="21">
                  <c:v>0.92000000000000048</c:v>
                </c:pt>
                <c:pt idx="22">
                  <c:v>0.9400000000000005</c:v>
                </c:pt>
                <c:pt idx="23">
                  <c:v>0.96000000000000052</c:v>
                </c:pt>
                <c:pt idx="24">
                  <c:v>0.98000000000000054</c:v>
                </c:pt>
              </c:numCache>
            </c:numRef>
          </c:cat>
          <c:val>
            <c:numRef>
              <c:f>'Dis Misc'!$AM$29:$AM$53</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0</c:v>
                </c:pt>
              </c:numCache>
            </c:numRef>
          </c:val>
          <c:extLst>
            <c:ext xmlns:c16="http://schemas.microsoft.com/office/drawing/2014/chart" uri="{C3380CC4-5D6E-409C-BE32-E72D297353CC}">
              <c16:uniqueId val="{00000000-8D1F-C74C-BC6C-0FC2D5E8EB19}"/>
            </c:ext>
          </c:extLst>
        </c:ser>
        <c:dLbls>
          <c:showLegendKey val="0"/>
          <c:showVal val="0"/>
          <c:showCatName val="0"/>
          <c:showSerName val="0"/>
          <c:showPercent val="0"/>
          <c:showBubbleSize val="0"/>
        </c:dLbls>
        <c:gapWidth val="0"/>
        <c:axId val="1414280927"/>
        <c:axId val="1"/>
      </c:barChart>
      <c:catAx>
        <c:axId val="1414280927"/>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14280927"/>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t>Chosen Se(E-)</a:t>
            </a:r>
          </a:p>
        </c:rich>
      </c:tx>
      <c:layout>
        <c:manualLayout>
          <c:xMode val="edge"/>
          <c:yMode val="edge"/>
          <c:x val="0.25789527075986668"/>
          <c:y val="4.4198904484765489E-2"/>
        </c:manualLayout>
      </c:layout>
      <c:overlay val="0"/>
      <c:spPr>
        <a:noFill/>
        <a:ln w="25400">
          <a:noFill/>
        </a:ln>
      </c:spPr>
    </c:title>
    <c:autoTitleDeleted val="0"/>
    <c:plotArea>
      <c:layout>
        <c:manualLayout>
          <c:layoutTarget val="inner"/>
          <c:xMode val="edge"/>
          <c:yMode val="edge"/>
          <c:x val="0.15789514261704002"/>
          <c:y val="0.19337068739934229"/>
          <c:w val="0.78421254166463217"/>
          <c:h val="0.4696145265412599"/>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Misc'!$AL$29:$AL$53,'Dis Misc'!$G$78:$G$81)</c:f>
              <c:numCache>
                <c:formatCode>General</c:formatCode>
                <c:ptCount val="29"/>
                <c:pt idx="0">
                  <c:v>0.50000000000000011</c:v>
                </c:pt>
                <c:pt idx="1">
                  <c:v>0.52000000000000013</c:v>
                </c:pt>
                <c:pt idx="2">
                  <c:v>0.54000000000000015</c:v>
                </c:pt>
                <c:pt idx="3">
                  <c:v>0.56000000000000016</c:v>
                </c:pt>
                <c:pt idx="4">
                  <c:v>0.58000000000000018</c:v>
                </c:pt>
                <c:pt idx="5">
                  <c:v>0.6000000000000002</c:v>
                </c:pt>
                <c:pt idx="6">
                  <c:v>0.62000000000000022</c:v>
                </c:pt>
                <c:pt idx="7">
                  <c:v>0.64000000000000024</c:v>
                </c:pt>
                <c:pt idx="8">
                  <c:v>0.66000000000000025</c:v>
                </c:pt>
                <c:pt idx="9">
                  <c:v>0.68000000000000027</c:v>
                </c:pt>
                <c:pt idx="10">
                  <c:v>0.70000000000000029</c:v>
                </c:pt>
                <c:pt idx="11">
                  <c:v>0.72000000000000031</c:v>
                </c:pt>
                <c:pt idx="12">
                  <c:v>0.74000000000000032</c:v>
                </c:pt>
                <c:pt idx="13">
                  <c:v>0.76000000000000034</c:v>
                </c:pt>
                <c:pt idx="14">
                  <c:v>0.78000000000000036</c:v>
                </c:pt>
                <c:pt idx="15">
                  <c:v>0.80000000000000038</c:v>
                </c:pt>
                <c:pt idx="16">
                  <c:v>0.8200000000000004</c:v>
                </c:pt>
                <c:pt idx="17">
                  <c:v>0.84000000000000041</c:v>
                </c:pt>
                <c:pt idx="18">
                  <c:v>0.86000000000000043</c:v>
                </c:pt>
                <c:pt idx="19">
                  <c:v>0.88000000000000045</c:v>
                </c:pt>
                <c:pt idx="20">
                  <c:v>0.90000000000000047</c:v>
                </c:pt>
                <c:pt idx="21">
                  <c:v>0.92000000000000048</c:v>
                </c:pt>
                <c:pt idx="22">
                  <c:v>0.9400000000000005</c:v>
                </c:pt>
                <c:pt idx="23">
                  <c:v>0.96000000000000052</c:v>
                </c:pt>
                <c:pt idx="24">
                  <c:v>0.98000000000000054</c:v>
                </c:pt>
              </c:numCache>
            </c:numRef>
          </c:cat>
          <c:val>
            <c:numRef>
              <c:f>('Dis Misc'!$AN$29:$AN$53,'Dis Misc'!$H$78:$H$81)</c:f>
              <c:numCache>
                <c:formatCode>General</c:formatCode>
                <c:ptCount val="2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c:v>
                </c:pt>
                <c:pt idx="23">
                  <c:v>0</c:v>
                </c:pt>
                <c:pt idx="24">
                  <c:v>0</c:v>
                </c:pt>
              </c:numCache>
            </c:numRef>
          </c:val>
          <c:extLst>
            <c:ext xmlns:c16="http://schemas.microsoft.com/office/drawing/2014/chart" uri="{C3380CC4-5D6E-409C-BE32-E72D297353CC}">
              <c16:uniqueId val="{00000000-2F3D-7A4C-B86C-1D653EAE113F}"/>
            </c:ext>
          </c:extLst>
        </c:ser>
        <c:dLbls>
          <c:showLegendKey val="0"/>
          <c:showVal val="0"/>
          <c:showCatName val="0"/>
          <c:showSerName val="0"/>
          <c:showPercent val="0"/>
          <c:showBubbleSize val="0"/>
        </c:dLbls>
        <c:gapWidth val="0"/>
        <c:axId val="1414447039"/>
        <c:axId val="1"/>
      </c:barChart>
      <c:catAx>
        <c:axId val="141444703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1444703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t>Chosen Sp(E+)</a:t>
            </a:r>
          </a:p>
        </c:rich>
      </c:tx>
      <c:layout>
        <c:manualLayout>
          <c:xMode val="edge"/>
          <c:yMode val="edge"/>
          <c:x val="0.25257733408323957"/>
          <c:y val="4.8912932646009176E-2"/>
        </c:manualLayout>
      </c:layout>
      <c:overlay val="0"/>
      <c:spPr>
        <a:noFill/>
        <a:ln w="25400">
          <a:noFill/>
        </a:ln>
      </c:spPr>
    </c:title>
    <c:autoTitleDeleted val="0"/>
    <c:plotArea>
      <c:layout>
        <c:manualLayout>
          <c:layoutTarget val="inner"/>
          <c:xMode val="edge"/>
          <c:yMode val="edge"/>
          <c:x val="0.15463917525773196"/>
          <c:y val="0.19021789608604386"/>
          <c:w val="0.78865979381443296"/>
          <c:h val="0.47282734169959478"/>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Misc'!$AL$29:$AL$53</c:f>
              <c:numCache>
                <c:formatCode>General</c:formatCode>
                <c:ptCount val="25"/>
                <c:pt idx="0">
                  <c:v>0.50000000000000011</c:v>
                </c:pt>
                <c:pt idx="1">
                  <c:v>0.52000000000000013</c:v>
                </c:pt>
                <c:pt idx="2">
                  <c:v>0.54000000000000015</c:v>
                </c:pt>
                <c:pt idx="3">
                  <c:v>0.56000000000000016</c:v>
                </c:pt>
                <c:pt idx="4">
                  <c:v>0.58000000000000018</c:v>
                </c:pt>
                <c:pt idx="5">
                  <c:v>0.6000000000000002</c:v>
                </c:pt>
                <c:pt idx="6">
                  <c:v>0.62000000000000022</c:v>
                </c:pt>
                <c:pt idx="7">
                  <c:v>0.64000000000000024</c:v>
                </c:pt>
                <c:pt idx="8">
                  <c:v>0.66000000000000025</c:v>
                </c:pt>
                <c:pt idx="9">
                  <c:v>0.68000000000000027</c:v>
                </c:pt>
                <c:pt idx="10">
                  <c:v>0.70000000000000029</c:v>
                </c:pt>
                <c:pt idx="11">
                  <c:v>0.72000000000000031</c:v>
                </c:pt>
                <c:pt idx="12">
                  <c:v>0.74000000000000032</c:v>
                </c:pt>
                <c:pt idx="13">
                  <c:v>0.76000000000000034</c:v>
                </c:pt>
                <c:pt idx="14">
                  <c:v>0.78000000000000036</c:v>
                </c:pt>
                <c:pt idx="15">
                  <c:v>0.80000000000000038</c:v>
                </c:pt>
                <c:pt idx="16">
                  <c:v>0.8200000000000004</c:v>
                </c:pt>
                <c:pt idx="17">
                  <c:v>0.84000000000000041</c:v>
                </c:pt>
                <c:pt idx="18">
                  <c:v>0.86000000000000043</c:v>
                </c:pt>
                <c:pt idx="19">
                  <c:v>0.88000000000000045</c:v>
                </c:pt>
                <c:pt idx="20">
                  <c:v>0.90000000000000047</c:v>
                </c:pt>
                <c:pt idx="21">
                  <c:v>0.92000000000000048</c:v>
                </c:pt>
                <c:pt idx="22">
                  <c:v>0.9400000000000005</c:v>
                </c:pt>
                <c:pt idx="23">
                  <c:v>0.96000000000000052</c:v>
                </c:pt>
                <c:pt idx="24">
                  <c:v>0.98000000000000054</c:v>
                </c:pt>
              </c:numCache>
            </c:numRef>
          </c:cat>
          <c:val>
            <c:numRef>
              <c:f>'Dis Misc'!$AO$29:$AO$53</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c:v>
                </c:pt>
                <c:pt idx="21">
                  <c:v>0</c:v>
                </c:pt>
                <c:pt idx="22">
                  <c:v>0</c:v>
                </c:pt>
                <c:pt idx="23">
                  <c:v>0</c:v>
                </c:pt>
                <c:pt idx="24">
                  <c:v>0</c:v>
                </c:pt>
              </c:numCache>
            </c:numRef>
          </c:val>
          <c:extLst>
            <c:ext xmlns:c16="http://schemas.microsoft.com/office/drawing/2014/chart" uri="{C3380CC4-5D6E-409C-BE32-E72D297353CC}">
              <c16:uniqueId val="{00000000-9657-FB44-9A84-5A7CE30E048C}"/>
            </c:ext>
          </c:extLst>
        </c:ser>
        <c:dLbls>
          <c:showLegendKey val="0"/>
          <c:showVal val="0"/>
          <c:showCatName val="0"/>
          <c:showSerName val="0"/>
          <c:showPercent val="0"/>
          <c:showBubbleSize val="0"/>
        </c:dLbls>
        <c:gapWidth val="0"/>
        <c:axId val="1414475615"/>
        <c:axId val="1"/>
      </c:barChart>
      <c:catAx>
        <c:axId val="1414475615"/>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14475615"/>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t>Chosen Sp(E-)</a:t>
            </a:r>
          </a:p>
        </c:rich>
      </c:tx>
      <c:layout>
        <c:manualLayout>
          <c:xMode val="edge"/>
          <c:yMode val="edge"/>
          <c:x val="0.2617801072411961"/>
          <c:y val="4.864857318367119E-2"/>
        </c:manualLayout>
      </c:layout>
      <c:overlay val="0"/>
      <c:spPr>
        <a:noFill/>
        <a:ln w="25400">
          <a:noFill/>
        </a:ln>
      </c:spPr>
    </c:title>
    <c:autoTitleDeleted val="0"/>
    <c:plotArea>
      <c:layout>
        <c:manualLayout>
          <c:layoutTarget val="inner"/>
          <c:xMode val="edge"/>
          <c:yMode val="edge"/>
          <c:x val="0.15706806282722513"/>
          <c:y val="0.1891891891891892"/>
          <c:w val="0.78534031413612571"/>
          <c:h val="0.4756756756756757"/>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Misc'!$AL$29:$AL$53</c:f>
              <c:numCache>
                <c:formatCode>General</c:formatCode>
                <c:ptCount val="25"/>
                <c:pt idx="0">
                  <c:v>0.50000000000000011</c:v>
                </c:pt>
                <c:pt idx="1">
                  <c:v>0.52000000000000013</c:v>
                </c:pt>
                <c:pt idx="2">
                  <c:v>0.54000000000000015</c:v>
                </c:pt>
                <c:pt idx="3">
                  <c:v>0.56000000000000016</c:v>
                </c:pt>
                <c:pt idx="4">
                  <c:v>0.58000000000000018</c:v>
                </c:pt>
                <c:pt idx="5">
                  <c:v>0.6000000000000002</c:v>
                </c:pt>
                <c:pt idx="6">
                  <c:v>0.62000000000000022</c:v>
                </c:pt>
                <c:pt idx="7">
                  <c:v>0.64000000000000024</c:v>
                </c:pt>
                <c:pt idx="8">
                  <c:v>0.66000000000000025</c:v>
                </c:pt>
                <c:pt idx="9">
                  <c:v>0.68000000000000027</c:v>
                </c:pt>
                <c:pt idx="10">
                  <c:v>0.70000000000000029</c:v>
                </c:pt>
                <c:pt idx="11">
                  <c:v>0.72000000000000031</c:v>
                </c:pt>
                <c:pt idx="12">
                  <c:v>0.74000000000000032</c:v>
                </c:pt>
                <c:pt idx="13">
                  <c:v>0.76000000000000034</c:v>
                </c:pt>
                <c:pt idx="14">
                  <c:v>0.78000000000000036</c:v>
                </c:pt>
                <c:pt idx="15">
                  <c:v>0.80000000000000038</c:v>
                </c:pt>
                <c:pt idx="16">
                  <c:v>0.8200000000000004</c:v>
                </c:pt>
                <c:pt idx="17">
                  <c:v>0.84000000000000041</c:v>
                </c:pt>
                <c:pt idx="18">
                  <c:v>0.86000000000000043</c:v>
                </c:pt>
                <c:pt idx="19">
                  <c:v>0.88000000000000045</c:v>
                </c:pt>
                <c:pt idx="20">
                  <c:v>0.90000000000000047</c:v>
                </c:pt>
                <c:pt idx="21">
                  <c:v>0.92000000000000048</c:v>
                </c:pt>
                <c:pt idx="22">
                  <c:v>0.9400000000000005</c:v>
                </c:pt>
                <c:pt idx="23">
                  <c:v>0.96000000000000052</c:v>
                </c:pt>
                <c:pt idx="24">
                  <c:v>0.98000000000000054</c:v>
                </c:pt>
              </c:numCache>
            </c:numRef>
          </c:cat>
          <c:val>
            <c:numRef>
              <c:f>'Dis Misc'!$AP$29:$AP$53</c:f>
              <c:numCache>
                <c:formatCode>General</c:formatCode>
                <c:ptCount val="25"/>
                <c:pt idx="0">
                  <c:v>0</c:v>
                </c:pt>
                <c:pt idx="1">
                  <c:v>0</c:v>
                </c:pt>
                <c:pt idx="2">
                  <c:v>1</c:v>
                </c:pt>
                <c:pt idx="3">
                  <c:v>0</c:v>
                </c:pt>
                <c:pt idx="4">
                  <c:v>0</c:v>
                </c:pt>
                <c:pt idx="5">
                  <c:v>1</c:v>
                </c:pt>
                <c:pt idx="6">
                  <c:v>0</c:v>
                </c:pt>
                <c:pt idx="7">
                  <c:v>0</c:v>
                </c:pt>
                <c:pt idx="8">
                  <c:v>0</c:v>
                </c:pt>
                <c:pt idx="9">
                  <c:v>0</c:v>
                </c:pt>
                <c:pt idx="10">
                  <c:v>0</c:v>
                </c:pt>
                <c:pt idx="11">
                  <c:v>1</c:v>
                </c:pt>
                <c:pt idx="12">
                  <c:v>0</c:v>
                </c:pt>
                <c:pt idx="13">
                  <c:v>0</c:v>
                </c:pt>
                <c:pt idx="14">
                  <c:v>1</c:v>
                </c:pt>
                <c:pt idx="15">
                  <c:v>0</c:v>
                </c:pt>
                <c:pt idx="16">
                  <c:v>0</c:v>
                </c:pt>
                <c:pt idx="17">
                  <c:v>1</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9D02-C74C-B54E-34051DF35154}"/>
            </c:ext>
          </c:extLst>
        </c:ser>
        <c:dLbls>
          <c:showLegendKey val="0"/>
          <c:showVal val="0"/>
          <c:showCatName val="0"/>
          <c:showSerName val="0"/>
          <c:showPercent val="0"/>
          <c:showBubbleSize val="0"/>
        </c:dLbls>
        <c:gapWidth val="0"/>
        <c:axId val="1414503759"/>
        <c:axId val="1"/>
      </c:barChart>
      <c:catAx>
        <c:axId val="141450375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1450375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'Dis Misc'!$AU$2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'Dis Misc'!$AW$3:$AW$5</c:f>
                <c:numCache>
                  <c:formatCode>General</c:formatCode>
                  <c:ptCount val="3"/>
                  <c:pt idx="0">
                    <c:v>0.14322537884482567</c:v>
                  </c:pt>
                  <c:pt idx="1">
                    <c:v>0</c:v>
                  </c:pt>
                  <c:pt idx="2">
                    <c:v>0</c:v>
                  </c:pt>
                </c:numCache>
              </c:numRef>
            </c:plus>
            <c:minus>
              <c:numRef>
                <c:f>'Dis Misc'!$AV$3:$AV$5</c:f>
                <c:numCache>
                  <c:formatCode>General</c:formatCode>
                  <c:ptCount val="3"/>
                  <c:pt idx="0">
                    <c:v>0.12777103309908111</c:v>
                  </c:pt>
                  <c:pt idx="1">
                    <c:v>0</c:v>
                  </c:pt>
                  <c:pt idx="2">
                    <c:v>0</c:v>
                  </c:pt>
                </c:numCache>
              </c:numRef>
            </c:minus>
            <c:spPr>
              <a:noFill/>
              <a:ln w="19050" cap="flat" cmpd="sng" algn="ctr">
                <a:solidFill>
                  <a:schemeClr val="tx1">
                    <a:lumMod val="65000"/>
                    <a:lumOff val="35000"/>
                  </a:schemeClr>
                </a:solidFill>
                <a:round/>
              </a:ln>
              <a:effectLst/>
            </c:spPr>
          </c:errBars>
          <c:xVal>
            <c:strRef>
              <c:f>'Dis Misc'!$AU$3:$AU$5</c:f>
              <c:strCache>
                <c:ptCount val="1"/>
                <c:pt idx="0">
                  <c:v>1.184136483</c:v>
                </c:pt>
              </c:strCache>
            </c:strRef>
          </c:xVal>
          <c:yVal>
            <c:numRef>
              <c:f>'Dis Misc'!$AZ$3:$AZ$5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5061-477E-9476-720294E09C89}"/>
            </c:ext>
          </c:extLst>
        </c:ser>
        <c:ser>
          <c:idx val="1"/>
          <c:order val="1"/>
          <c:tx>
            <c:strRef>
              <c:f>'Dis Misc'!$AV$2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22F1157C-0A58-4431-9CBB-B709B2F63DE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5061-477E-9476-720294E09C89}"/>
                </c:ext>
              </c:extLst>
            </c:dLbl>
            <c:dLbl>
              <c:idx val="1"/>
              <c:layout>
                <c:manualLayout>
                  <c:x val="-0.56304918360115297"/>
                  <c:y val="-2.4117389017283305E-3"/>
                </c:manualLayout>
              </c:layout>
              <c:tx>
                <c:rich>
                  <a:bodyPr/>
                  <a:lstStyle/>
                  <a:p>
                    <a:fld id="{1FB93E09-2E95-444F-97BF-6FC645665C3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5061-477E-9476-720294E09C89}"/>
                </c:ext>
              </c:extLst>
            </c:dLbl>
            <c:dLbl>
              <c:idx val="2"/>
              <c:layout>
                <c:manualLayout>
                  <c:x val="-0.56569439184264037"/>
                  <c:y val="-7.2352167051849539E-3"/>
                </c:manualLayout>
              </c:layout>
              <c:tx>
                <c:rich>
                  <a:bodyPr/>
                  <a:lstStyle/>
                  <a:p>
                    <a:fld id="{DF0235EE-F9EF-4C15-AF96-6A60173E2B9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5061-477E-9476-720294E09C89}"/>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'Exp Misc'!$AV$3:$AV$5</c:f>
              <c:numCache>
                <c:formatCode>General</c:formatCode>
                <c:ptCount val="3"/>
                <c:pt idx="0">
                  <c:v>0.11300782936665954</c:v>
                </c:pt>
                <c:pt idx="1">
                  <c:v>1.4638634778805004E-2</c:v>
                </c:pt>
                <c:pt idx="2">
                  <c:v>0.13762009710757772</c:v>
                </c:pt>
              </c:numCache>
            </c:numRef>
          </c:xVal>
          <c:yVal>
            <c:numRef>
              <c:f>'Exp Misc'!$AZ$3:$AZ$5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5061-477E-9476-720294E09C89}"/>
            </c:ext>
          </c:extLst>
        </c:ser>
        <c:ser>
          <c:idx val="2"/>
          <c:order val="2"/>
          <c:tx>
            <c:strRef>
              <c:f>'Exp Misc'!$AW$2</c:f>
              <c:strCache>
                <c:ptCount val="1"/>
                <c:pt idx="0">
                  <c:v>Upper</c:v>
                </c:pt>
              </c:strCache>
            </c:strRef>
          </c:tx>
          <c:spPr>
            <a:ln w="25400" cap="rnd">
              <a:noFill/>
              <a:round/>
            </a:ln>
            <a:effectLst/>
          </c:spPr>
          <c:marker>
            <c:symbol val="circle"/>
            <c:size val="5"/>
            <c:spPr>
              <a:noFill/>
              <a:ln w="9525">
                <a:noFill/>
              </a:ln>
              <a:effectLst/>
            </c:spPr>
          </c:marker>
          <c:xVal>
            <c:numRef>
              <c:f>'Exp Misc'!$AW$3:$AW$5</c:f>
              <c:numCache>
                <c:formatCode>General</c:formatCode>
                <c:ptCount val="3"/>
                <c:pt idx="0">
                  <c:v>0.12799040749439616</c:v>
                </c:pt>
                <c:pt idx="1">
                  <c:v>3.0428476373320912E-3</c:v>
                </c:pt>
                <c:pt idx="2">
                  <c:v>0.13979049665552057</c:v>
                </c:pt>
              </c:numCache>
            </c:numRef>
          </c:xVal>
          <c:yVal>
            <c:numRef>
              <c:f>'Exp Misc'!$AZ$3:$AZ$5</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5061-477E-9476-720294E09C89}"/>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'Dis Misc'!$AU$8</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'Dis Misc'!$AW$9:$AW$11</c:f>
                <c:numCache>
                  <c:formatCode>General</c:formatCode>
                  <c:ptCount val="3"/>
                  <c:pt idx="0">
                    <c:v>0.40585112880157803</c:v>
                  </c:pt>
                  <c:pt idx="1">
                    <c:v>0</c:v>
                  </c:pt>
                  <c:pt idx="2">
                    <c:v>0</c:v>
                  </c:pt>
                </c:numCache>
              </c:numRef>
            </c:plus>
            <c:minus>
              <c:numRef>
                <c:f>'Dis Misc'!$AV$9:$AV$11</c:f>
                <c:numCache>
                  <c:formatCode>General</c:formatCode>
                  <c:ptCount val="3"/>
                  <c:pt idx="0">
                    <c:v>0.31573038047754243</c:v>
                  </c:pt>
                  <c:pt idx="1">
                    <c:v>0</c:v>
                  </c:pt>
                  <c:pt idx="2">
                    <c:v>0</c:v>
                  </c:pt>
                </c:numCache>
              </c:numRef>
            </c:minus>
            <c:spPr>
              <a:noFill/>
              <a:ln w="19050" cap="flat" cmpd="sng" algn="ctr">
                <a:solidFill>
                  <a:schemeClr val="tx1">
                    <a:lumMod val="65000"/>
                    <a:lumOff val="35000"/>
                  </a:schemeClr>
                </a:solidFill>
                <a:round/>
              </a:ln>
              <a:effectLst/>
            </c:spPr>
          </c:errBars>
          <c:xVal>
            <c:strRef>
              <c:f>'Dis Misc'!$AU$9:$AU$11</c:f>
              <c:strCache>
                <c:ptCount val="1"/>
                <c:pt idx="0">
                  <c:v>1.421864928</c:v>
                </c:pt>
              </c:strCache>
            </c:strRef>
          </c:xVal>
          <c:yVal>
            <c:numRef>
              <c:f>'Dis Misc'!$AZ$9:$AZ$11</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996A-440D-AFAE-9013FA83BAF0}"/>
            </c:ext>
          </c:extLst>
        </c:ser>
        <c:ser>
          <c:idx val="1"/>
          <c:order val="1"/>
          <c:tx>
            <c:strRef>
              <c:f>'Dis Misc'!$AV$8</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6CAC4205-66C8-40F4-A914-06D75B7FCF9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996A-440D-AFAE-9013FA83BAF0}"/>
                </c:ext>
              </c:extLst>
            </c:dLbl>
            <c:dLbl>
              <c:idx val="1"/>
              <c:layout>
                <c:manualLayout>
                  <c:x val="-0.56304918360115297"/>
                  <c:y val="-2.4117389017283305E-3"/>
                </c:manualLayout>
              </c:layout>
              <c:tx>
                <c:rich>
                  <a:bodyPr/>
                  <a:lstStyle/>
                  <a:p>
                    <a:fld id="{C58FB24C-992D-4090-B958-D13A661A448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996A-440D-AFAE-9013FA83BAF0}"/>
                </c:ext>
              </c:extLst>
            </c:dLbl>
            <c:dLbl>
              <c:idx val="2"/>
              <c:layout>
                <c:manualLayout>
                  <c:x val="-0.56569439184264037"/>
                  <c:y val="-7.2352167051849539E-3"/>
                </c:manualLayout>
              </c:layout>
              <c:tx>
                <c:rich>
                  <a:bodyPr/>
                  <a:lstStyle/>
                  <a:p>
                    <a:fld id="{B3F0A846-383F-4CD4-A607-6017E232B42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996A-440D-AFAE-9013FA83BA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'Exp Misc'!$AV$3:$AV$5</c:f>
              <c:numCache>
                <c:formatCode>General</c:formatCode>
                <c:ptCount val="3"/>
                <c:pt idx="0">
                  <c:v>0.11300782936665954</c:v>
                </c:pt>
                <c:pt idx="1">
                  <c:v>1.4638634778805004E-2</c:v>
                </c:pt>
                <c:pt idx="2">
                  <c:v>0.13762009710757772</c:v>
                </c:pt>
              </c:numCache>
            </c:numRef>
          </c:xVal>
          <c:yVal>
            <c:numRef>
              <c:f>'Exp Misc'!$AZ$3:$AZ$5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996A-440D-AFAE-9013FA83BAF0}"/>
            </c:ext>
          </c:extLst>
        </c:ser>
        <c:ser>
          <c:idx val="2"/>
          <c:order val="2"/>
          <c:tx>
            <c:strRef>
              <c:f>'Exp Misc'!$AW$2</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E60A306A-96CE-4765-B658-42A1DC5E7379}"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996A-440D-AFAE-9013FA83BAF0}"/>
                </c:ext>
              </c:extLst>
            </c:dLbl>
            <c:dLbl>
              <c:idx val="1"/>
              <c:tx>
                <c:rich>
                  <a:bodyPr/>
                  <a:lstStyle/>
                  <a:p>
                    <a:fld id="{4D7AFA52-A5E7-435E-8743-1B602E94B6F8}"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996A-440D-AFAE-9013FA83BAF0}"/>
                </c:ext>
              </c:extLst>
            </c:dLbl>
            <c:dLbl>
              <c:idx val="2"/>
              <c:tx>
                <c:rich>
                  <a:bodyPr/>
                  <a:lstStyle/>
                  <a:p>
                    <a:fld id="{E099E894-062B-4E41-94F0-0FD153075945}"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996A-440D-AFAE-9013FA83BAF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'Exp Misc'!$AW$3:$AW$5</c:f>
              <c:numCache>
                <c:formatCode>General</c:formatCode>
                <c:ptCount val="3"/>
                <c:pt idx="0">
                  <c:v>0.12799040749439616</c:v>
                </c:pt>
                <c:pt idx="1">
                  <c:v>3.0428476373320912E-3</c:v>
                </c:pt>
                <c:pt idx="2">
                  <c:v>0.13979049665552057</c:v>
                </c:pt>
              </c:numCache>
            </c:numRef>
          </c:xVal>
          <c:yVal>
            <c:numRef>
              <c:f>'Exp Misc'!$AZ$3:$AZ$5</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996A-440D-AFAE-9013FA83BAF0}"/>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sz="950" b="1" i="0" u="none" strike="noStrike" baseline="0">
                <a:solidFill>
                  <a:srgbClr val="000000"/>
                </a:solidFill>
                <a:latin typeface="Arial" pitchFamily="2" charset="0"/>
                <a:cs typeface="Arial" pitchFamily="2" charset="0"/>
              </a:rPr>
              <a:t>Chosen p</a:t>
            </a:r>
            <a:r>
              <a:rPr lang="en-US" sz="950" b="1" i="0" u="none" strike="noStrike" baseline="-25000">
                <a:solidFill>
                  <a:srgbClr val="000000"/>
                </a:solidFill>
                <a:latin typeface="Arial" pitchFamily="2" charset="0"/>
                <a:cs typeface="Arial" pitchFamily="2" charset="0"/>
              </a:rPr>
              <a:t>1</a:t>
            </a:r>
          </a:p>
        </c:rich>
      </c:tx>
      <c:layout>
        <c:manualLayout>
          <c:xMode val="edge"/>
          <c:yMode val="edge"/>
          <c:x val="0.38513498312710914"/>
          <c:y val="2.9940007499062615E-2"/>
        </c:manualLayout>
      </c:layout>
      <c:overlay val="0"/>
      <c:spPr>
        <a:noFill/>
        <a:ln w="25400">
          <a:noFill/>
        </a:ln>
      </c:spPr>
    </c:title>
    <c:autoTitleDeleted val="0"/>
    <c:plotArea>
      <c:layout>
        <c:manualLayout>
          <c:layoutTarget val="inner"/>
          <c:xMode val="edge"/>
          <c:yMode val="edge"/>
          <c:x val="0.10135135135135136"/>
          <c:y val="0.10778443113772455"/>
          <c:w val="0.82432432432432434"/>
          <c:h val="0.53293413173652693"/>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'Unmeas Conf'!$AK$4:$AK$53</c:f>
              <c:numCache>
                <c:formatCode>General</c:formatCode>
                <c:ptCount val="50"/>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numCache>
            </c:numRef>
          </c:cat>
          <c:val>
            <c:numRef>
              <c:f>'Unmeas Conf'!$AL$4:$AL$53</c:f>
              <c:numCache>
                <c:formatCode>General</c:formatCode>
                <c:ptCount val="50"/>
                <c:pt idx="0">
                  <c:v>0</c:v>
                </c:pt>
                <c:pt idx="1">
                  <c:v>0</c:v>
                </c:pt>
                <c:pt idx="2">
                  <c:v>0</c:v>
                </c:pt>
                <c:pt idx="3">
                  <c:v>0</c:v>
                </c:pt>
                <c:pt idx="4">
                  <c:v>0</c:v>
                </c:pt>
                <c:pt idx="5">
                  <c:v>0</c:v>
                </c:pt>
                <c:pt idx="6">
                  <c:v>0</c:v>
                </c:pt>
                <c:pt idx="7">
                  <c:v>0</c:v>
                </c:pt>
                <c:pt idx="8">
                  <c:v>0</c:v>
                </c:pt>
                <c:pt idx="9">
                  <c:v>0</c:v>
                </c:pt>
                <c:pt idx="10">
                  <c:v>2</c:v>
                </c:pt>
                <c:pt idx="11">
                  <c:v>4</c:v>
                </c:pt>
                <c:pt idx="12">
                  <c:v>6</c:v>
                </c:pt>
                <c:pt idx="13">
                  <c:v>6</c:v>
                </c:pt>
                <c:pt idx="14">
                  <c:v>9</c:v>
                </c:pt>
                <c:pt idx="15">
                  <c:v>6</c:v>
                </c:pt>
                <c:pt idx="16">
                  <c:v>13</c:v>
                </c:pt>
                <c:pt idx="17">
                  <c:v>7</c:v>
                </c:pt>
                <c:pt idx="18">
                  <c:v>13</c:v>
                </c:pt>
                <c:pt idx="19">
                  <c:v>9</c:v>
                </c:pt>
                <c:pt idx="20">
                  <c:v>4</c:v>
                </c:pt>
                <c:pt idx="21">
                  <c:v>10</c:v>
                </c:pt>
                <c:pt idx="22">
                  <c:v>2</c:v>
                </c:pt>
                <c:pt idx="23">
                  <c:v>7</c:v>
                </c:pt>
                <c:pt idx="24">
                  <c:v>1</c:v>
                </c:pt>
                <c:pt idx="25">
                  <c:v>1</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38F8-7344-9245-B693F22F797F}"/>
            </c:ext>
          </c:extLst>
        </c:ser>
        <c:dLbls>
          <c:showLegendKey val="0"/>
          <c:showVal val="0"/>
          <c:showCatName val="0"/>
          <c:showSerName val="0"/>
          <c:showPercent val="0"/>
          <c:showBubbleSize val="0"/>
        </c:dLbls>
        <c:gapWidth val="0"/>
        <c:axId val="1408582815"/>
        <c:axId val="1"/>
      </c:barChart>
      <c:catAx>
        <c:axId val="1408582815"/>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08582815"/>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550" b="0" i="0" u="none" strike="noStrike" baseline="0">
                <a:solidFill>
                  <a:srgbClr val="000000"/>
                </a:solidFill>
                <a:latin typeface="Arial"/>
                <a:ea typeface="Arial"/>
                <a:cs typeface="Arial"/>
              </a:defRPr>
            </a:pPr>
            <a:r>
              <a:rPr lang="en-US" sz="950" b="1" i="0" u="none" strike="noStrike" baseline="0">
                <a:solidFill>
                  <a:srgbClr val="000000"/>
                </a:solidFill>
                <a:latin typeface="Arial" pitchFamily="2" charset="0"/>
                <a:cs typeface="Arial" pitchFamily="2" charset="0"/>
              </a:rPr>
              <a:t>Chosen p</a:t>
            </a:r>
            <a:r>
              <a:rPr lang="en-US" sz="950" b="1" i="0" u="none" strike="noStrike" baseline="-25000">
                <a:solidFill>
                  <a:srgbClr val="000000"/>
                </a:solidFill>
                <a:latin typeface="Arial" pitchFamily="2" charset="0"/>
                <a:cs typeface="Arial" pitchFamily="2" charset="0"/>
              </a:rPr>
              <a:t>0</a:t>
            </a:r>
          </a:p>
        </c:rich>
      </c:tx>
      <c:layout>
        <c:manualLayout>
          <c:xMode val="edge"/>
          <c:yMode val="edge"/>
          <c:x val="0.37818166716502205"/>
          <c:y val="2.9761919523839046E-2"/>
        </c:manualLayout>
      </c:layout>
      <c:overlay val="0"/>
      <c:spPr>
        <a:noFill/>
        <a:ln w="25400">
          <a:noFill/>
        </a:ln>
      </c:spPr>
    </c:title>
    <c:autoTitleDeleted val="0"/>
    <c:plotArea>
      <c:layout>
        <c:manualLayout>
          <c:layoutTarget val="inner"/>
          <c:xMode val="edge"/>
          <c:yMode val="edge"/>
          <c:x val="0.10909090909090909"/>
          <c:y val="0.10714347995419431"/>
          <c:w val="0.87636363636363634"/>
          <c:h val="0.53571739977097155"/>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'Unmeas Conf'!$AK$4:$AK$53</c:f>
              <c:numCache>
                <c:formatCode>General</c:formatCode>
                <c:ptCount val="50"/>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numCache>
            </c:numRef>
          </c:cat>
          <c:val>
            <c:numRef>
              <c:f>'Unmeas Conf'!$AM$4:$AM$53</c:f>
              <c:numCache>
                <c:formatCode>General</c:formatCode>
                <c:ptCount val="50"/>
                <c:pt idx="0">
                  <c:v>0</c:v>
                </c:pt>
                <c:pt idx="1">
                  <c:v>0</c:v>
                </c:pt>
                <c:pt idx="2">
                  <c:v>0</c:v>
                </c:pt>
                <c:pt idx="3">
                  <c:v>0</c:v>
                </c:pt>
                <c:pt idx="4">
                  <c:v>2</c:v>
                </c:pt>
                <c:pt idx="5">
                  <c:v>2</c:v>
                </c:pt>
                <c:pt idx="6">
                  <c:v>9</c:v>
                </c:pt>
                <c:pt idx="7">
                  <c:v>10</c:v>
                </c:pt>
                <c:pt idx="8">
                  <c:v>21</c:v>
                </c:pt>
                <c:pt idx="9">
                  <c:v>23</c:v>
                </c:pt>
                <c:pt idx="10">
                  <c:v>18</c:v>
                </c:pt>
                <c:pt idx="11">
                  <c:v>7</c:v>
                </c:pt>
                <c:pt idx="12">
                  <c:v>6</c:v>
                </c:pt>
                <c:pt idx="13">
                  <c:v>0</c:v>
                </c:pt>
                <c:pt idx="14">
                  <c:v>4</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1</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9775-A840-8F62-D05B71FFE4DD}"/>
            </c:ext>
          </c:extLst>
        </c:ser>
        <c:dLbls>
          <c:showLegendKey val="0"/>
          <c:showVal val="0"/>
          <c:showCatName val="0"/>
          <c:showSerName val="0"/>
          <c:showPercent val="0"/>
          <c:showBubbleSize val="0"/>
        </c:dLbls>
        <c:gapWidth val="0"/>
        <c:axId val="1408698927"/>
        <c:axId val="1"/>
      </c:barChart>
      <c:catAx>
        <c:axId val="1408698927"/>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08698927"/>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500" b="0" i="0" u="none" strike="noStrike" baseline="0">
                <a:solidFill>
                  <a:srgbClr val="000000"/>
                </a:solidFill>
                <a:latin typeface="Arial"/>
                <a:ea typeface="Arial"/>
                <a:cs typeface="Arial"/>
              </a:defRPr>
            </a:pPr>
            <a:r>
              <a:rPr lang="en-US" sz="875" b="1" i="0" u="none" strike="noStrike" baseline="0">
                <a:solidFill>
                  <a:srgbClr val="000000"/>
                </a:solidFill>
                <a:latin typeface="Arial" pitchFamily="2" charset="0"/>
                <a:cs typeface="Arial" pitchFamily="2" charset="0"/>
              </a:rPr>
              <a:t>Chosen RR</a:t>
            </a:r>
            <a:r>
              <a:rPr lang="en-US" sz="875" b="1" i="0" u="none" strike="noStrike" baseline="-25000">
                <a:solidFill>
                  <a:srgbClr val="000000"/>
                </a:solidFill>
                <a:latin typeface="Arial" pitchFamily="2" charset="0"/>
                <a:cs typeface="Arial" pitchFamily="2" charset="0"/>
              </a:rPr>
              <a:t>CD</a:t>
            </a:r>
          </a:p>
        </c:rich>
      </c:tx>
      <c:layout>
        <c:manualLayout>
          <c:xMode val="edge"/>
          <c:yMode val="edge"/>
          <c:x val="0.34285714285714286"/>
          <c:y val="3.1847057253436541E-2"/>
        </c:manualLayout>
      </c:layout>
      <c:overlay val="0"/>
      <c:spPr>
        <a:noFill/>
        <a:ln w="25400">
          <a:noFill/>
        </a:ln>
      </c:spPr>
    </c:title>
    <c:autoTitleDeleted val="0"/>
    <c:plotArea>
      <c:layout>
        <c:manualLayout>
          <c:layoutTarget val="inner"/>
          <c:xMode val="edge"/>
          <c:yMode val="edge"/>
          <c:x val="0.12244897959183673"/>
          <c:y val="0.11465003809849628"/>
          <c:w val="0.86122448979591837"/>
          <c:h val="0.53503351112631592"/>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'Unmeas Conf'!$AO$4:$AO$104</c:f>
              <c:numCache>
                <c:formatCode>General</c:formatCode>
                <c:ptCount val="1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numCache>
            </c:numRef>
          </c:cat>
          <c:val>
            <c:numRef>
              <c:f>'Unmeas Conf'!$AN$4:$AN$104</c:f>
              <c:numCache>
                <c:formatCode>General</c:formatCode>
                <c:ptCount val="101"/>
                <c:pt idx="0">
                  <c:v>0</c:v>
                </c:pt>
                <c:pt idx="1">
                  <c:v>0</c:v>
                </c:pt>
                <c:pt idx="2">
                  <c:v>2</c:v>
                </c:pt>
                <c:pt idx="3">
                  <c:v>1</c:v>
                </c:pt>
                <c:pt idx="4">
                  <c:v>1</c:v>
                </c:pt>
                <c:pt idx="5">
                  <c:v>0</c:v>
                </c:pt>
                <c:pt idx="6">
                  <c:v>0</c:v>
                </c:pt>
                <c:pt idx="7">
                  <c:v>101</c:v>
                </c:pt>
                <c:pt idx="8">
                  <c:v>1</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1</c:v>
                </c:pt>
              </c:numCache>
            </c:numRef>
          </c:val>
          <c:extLst>
            <c:ext xmlns:c16="http://schemas.microsoft.com/office/drawing/2014/chart" uri="{C3380CC4-5D6E-409C-BE32-E72D297353CC}">
              <c16:uniqueId val="{00000000-4A64-AF4A-B381-51EB63F2AE77}"/>
            </c:ext>
          </c:extLst>
        </c:ser>
        <c:dLbls>
          <c:showLegendKey val="0"/>
          <c:showVal val="0"/>
          <c:showCatName val="0"/>
          <c:showSerName val="0"/>
          <c:showPercent val="0"/>
          <c:showBubbleSize val="0"/>
        </c:dLbls>
        <c:gapWidth val="0"/>
        <c:axId val="1408728687"/>
        <c:axId val="1"/>
      </c:barChart>
      <c:catAx>
        <c:axId val="1408728687"/>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1"/>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08728687"/>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'Unmeas Conf'!$AU$2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'Unmeas Conf'!$AW$3:$AW$5</c:f>
                <c:numCache>
                  <c:formatCode>General</c:formatCode>
                  <c:ptCount val="3"/>
                  <c:pt idx="0">
                    <c:v>9.1128481298439923E-2</c:v>
                  </c:pt>
                  <c:pt idx="1">
                    <c:v>1.8349747496931135E-2</c:v>
                  </c:pt>
                  <c:pt idx="2">
                    <c:v>9.604451952668136E-2</c:v>
                  </c:pt>
                </c:numCache>
              </c:numRef>
            </c:plus>
            <c:minus>
              <c:numRef>
                <c:f>'Unmeas Conf'!$AV$3:$AV$5</c:f>
                <c:numCache>
                  <c:formatCode>General</c:formatCode>
                  <c:ptCount val="3"/>
                  <c:pt idx="0">
                    <c:v>7.221373076806531E-2</c:v>
                  </c:pt>
                  <c:pt idx="1">
                    <c:v>1.313575529180816E-2</c:v>
                  </c:pt>
                  <c:pt idx="2">
                    <c:v>8.4709236331330651E-2</c:v>
                  </c:pt>
                </c:numCache>
              </c:numRef>
            </c:minus>
            <c:spPr>
              <a:noFill/>
              <a:ln w="19050" cap="flat" cmpd="sng" algn="ctr">
                <a:solidFill>
                  <a:schemeClr val="tx1">
                    <a:lumMod val="65000"/>
                    <a:lumOff val="35000"/>
                  </a:schemeClr>
                </a:solidFill>
                <a:round/>
              </a:ln>
              <a:effectLst/>
            </c:spPr>
          </c:errBars>
          <c:xVal>
            <c:numRef>
              <c:f>'Unmeas Conf'!$AU$3:$AU$5</c:f>
              <c:numCache>
                <c:formatCode>General</c:formatCode>
                <c:ptCount val="3"/>
                <c:pt idx="0">
                  <c:v>0.34791511541325393</c:v>
                </c:pt>
                <c:pt idx="1">
                  <c:v>0.37085381473150336</c:v>
                </c:pt>
                <c:pt idx="2">
                  <c:v>0.37550918434284775</c:v>
                </c:pt>
              </c:numCache>
            </c:numRef>
          </c:xVal>
          <c:yVal>
            <c:numRef>
              <c:f>'Unmeas Conf'!$AZ$3:$AZ$5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460F-430B-95C3-BCBDC2DC64CF}"/>
            </c:ext>
          </c:extLst>
        </c:ser>
        <c:ser>
          <c:idx val="1"/>
          <c:order val="1"/>
          <c:tx>
            <c:strRef>
              <c:f>'Unmeas Conf'!$AV$2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66810144193948162"/>
                  <c:y val="1.9810970060289611E-2"/>
                </c:manualLayout>
              </c:layout>
              <c:tx>
                <c:rich>
                  <a:bodyPr/>
                  <a:lstStyle/>
                  <a:p>
                    <a:fld id="{98047EB7-DD4B-4347-8DF5-209105C3F11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460F-430B-95C3-BCBDC2DC64CF}"/>
                </c:ext>
              </c:extLst>
            </c:dLbl>
            <c:dLbl>
              <c:idx val="1"/>
              <c:layout>
                <c:manualLayout>
                  <c:x val="-0.56304918360115297"/>
                  <c:y val="-2.4117389017283305E-3"/>
                </c:manualLayout>
              </c:layout>
              <c:tx>
                <c:rich>
                  <a:bodyPr/>
                  <a:lstStyle/>
                  <a:p>
                    <a:fld id="{8C46CBAD-A154-4A47-9CB9-0972002195B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460F-430B-95C3-BCBDC2DC64CF}"/>
                </c:ext>
              </c:extLst>
            </c:dLbl>
            <c:dLbl>
              <c:idx val="2"/>
              <c:layout>
                <c:manualLayout>
                  <c:x val="-0.40833751075903368"/>
                  <c:y val="-7.2351197216069009E-3"/>
                </c:manualLayout>
              </c:layout>
              <c:tx>
                <c:rich>
                  <a:bodyPr/>
                  <a:lstStyle/>
                  <a:p>
                    <a:fld id="{157762BA-4344-4E5F-86BA-015AEAB377F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460F-430B-95C3-BCBDC2DC64C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'Exp Misc'!$AV$3:$AV$5</c:f>
              <c:numCache>
                <c:formatCode>General</c:formatCode>
                <c:ptCount val="3"/>
                <c:pt idx="0">
                  <c:v>0.11300782936665954</c:v>
                </c:pt>
                <c:pt idx="1">
                  <c:v>1.4638634778805004E-2</c:v>
                </c:pt>
                <c:pt idx="2">
                  <c:v>0.13762009710757772</c:v>
                </c:pt>
              </c:numCache>
            </c:numRef>
          </c:xVal>
          <c:yVal>
            <c:numRef>
              <c:f>'Exp Misc'!$AZ$3:$AZ$5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460F-430B-95C3-BCBDC2DC64CF}"/>
            </c:ext>
          </c:extLst>
        </c:ser>
        <c:ser>
          <c:idx val="2"/>
          <c:order val="2"/>
          <c:tx>
            <c:strRef>
              <c:f>'Unmeas Conf'!$AW$2</c:f>
              <c:strCache>
                <c:ptCount val="1"/>
                <c:pt idx="0">
                  <c:v>Upper</c:v>
                </c:pt>
              </c:strCache>
              <c:extLst xmlns:c15="http://schemas.microsoft.com/office/drawing/2012/chart"/>
            </c:strRef>
          </c:tx>
          <c:spPr>
            <a:ln w="25400" cap="rnd">
              <a:noFill/>
              <a:round/>
            </a:ln>
            <a:effectLst/>
          </c:spPr>
          <c:marker>
            <c:symbol val="circle"/>
            <c:size val="5"/>
            <c:spPr>
              <a:noFill/>
              <a:ln w="9525">
                <a:noFill/>
              </a:ln>
              <a:effectLst/>
            </c:spPr>
          </c:marker>
          <c:xVal>
            <c:numRef>
              <c:f>'Unmeas Conf'!$AW$3:$AW$6</c:f>
              <c:numCache>
                <c:formatCode>General</c:formatCode>
                <c:ptCount val="4"/>
                <c:pt idx="0">
                  <c:v>9.1128481298439923E-2</c:v>
                </c:pt>
                <c:pt idx="1">
                  <c:v>1.8349747496931135E-2</c:v>
                </c:pt>
                <c:pt idx="2" formatCode="0.00000">
                  <c:v>9.604451952668136E-2</c:v>
                </c:pt>
              </c:numCache>
              <c:extLst xmlns:c15="http://schemas.microsoft.com/office/drawing/2012/chart"/>
            </c:numRef>
          </c:xVal>
          <c:yVal>
            <c:numRef>
              <c:f>'Unmeas Conf'!$AZ$3:$AZ$5</c:f>
              <c:numCache>
                <c:formatCode>General</c:formatCode>
                <c:ptCount val="3"/>
                <c:pt idx="0">
                  <c:v>2.5</c:v>
                </c:pt>
                <c:pt idx="1">
                  <c:v>1.5</c:v>
                </c:pt>
                <c:pt idx="2">
                  <c:v>0.5</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8-460F-430B-95C3-BCBDC2DC64CF}"/>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'Unmeas Conf'!$AU$7</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'Unmeas Conf'!$AW$8:$AW$10</c:f>
                <c:numCache>
                  <c:formatCode>General</c:formatCode>
                  <c:ptCount val="3"/>
                  <c:pt idx="0">
                    <c:v>9.4800571580730575E-2</c:v>
                  </c:pt>
                  <c:pt idx="1">
                    <c:v>1.4002986010016011E-2</c:v>
                  </c:pt>
                  <c:pt idx="2">
                    <c:v>8.5885781164366348E-2</c:v>
                  </c:pt>
                </c:numCache>
              </c:numRef>
            </c:plus>
            <c:minus>
              <c:numRef>
                <c:f>'Unmeas Conf'!$AV$8:$AV$10</c:f>
                <c:numCache>
                  <c:formatCode>General</c:formatCode>
                  <c:ptCount val="3"/>
                  <c:pt idx="0">
                    <c:v>6.6068695666542276E-2</c:v>
                  </c:pt>
                  <c:pt idx="1">
                    <c:v>1.0015221315950812E-2</c:v>
                  </c:pt>
                  <c:pt idx="2">
                    <c:v>6.1337417399559946E-2</c:v>
                  </c:pt>
                </c:numCache>
              </c:numRef>
            </c:minus>
            <c:spPr>
              <a:noFill/>
              <a:ln w="19050" cap="flat" cmpd="sng" algn="ctr">
                <a:solidFill>
                  <a:schemeClr val="tx1">
                    <a:lumMod val="65000"/>
                    <a:lumOff val="35000"/>
                  </a:schemeClr>
                </a:solidFill>
                <a:round/>
              </a:ln>
              <a:effectLst/>
            </c:spPr>
          </c:errBars>
          <c:xVal>
            <c:numRef>
              <c:f>'Unmeas Conf'!$AU$8:$AU$10</c:f>
              <c:numCache>
                <c:formatCode>General</c:formatCode>
                <c:ptCount val="3"/>
                <c:pt idx="0">
                  <c:v>0.2179930795847751</c:v>
                </c:pt>
                <c:pt idx="1">
                  <c:v>0.23210890874542439</c:v>
                </c:pt>
                <c:pt idx="2">
                  <c:v>0.23117367646670167</c:v>
                </c:pt>
              </c:numCache>
            </c:numRef>
          </c:xVal>
          <c:yVal>
            <c:numRef>
              <c:f>'Unmeas Conf'!$AZ$8:$AZ$10</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540A-44F8-9987-CD388CF585E0}"/>
            </c:ext>
          </c:extLst>
        </c:ser>
        <c:ser>
          <c:idx val="1"/>
          <c:order val="1"/>
          <c:tx>
            <c:strRef>
              <c:f>'Unmeas Conf'!$AV$7</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65574182084285437"/>
                  <c:y val="1.2058838071391641E-2"/>
                </c:manualLayout>
              </c:layout>
              <c:tx>
                <c:rich>
                  <a:bodyPr/>
                  <a:lstStyle/>
                  <a:p>
                    <a:fld id="{194774B5-D46D-4D7A-95D4-3E46E0A04A3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540A-44F8-9987-CD388CF585E0}"/>
                </c:ext>
              </c:extLst>
            </c:dLbl>
            <c:dLbl>
              <c:idx val="1"/>
              <c:layout>
                <c:manualLayout>
                  <c:x val="-0.56304918360115297"/>
                  <c:y val="-2.4117389017283305E-3"/>
                </c:manualLayout>
              </c:layout>
              <c:tx>
                <c:rich>
                  <a:bodyPr/>
                  <a:lstStyle/>
                  <a:p>
                    <a:fld id="{3A14D6BB-017A-4B5D-BCAA-D598AC8CD1A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540A-44F8-9987-CD388CF585E0}"/>
                </c:ext>
              </c:extLst>
            </c:dLbl>
            <c:dLbl>
              <c:idx val="2"/>
              <c:layout>
                <c:manualLayout>
                  <c:x val="-0.4087892138364968"/>
                  <c:y val="-1.1111185716055886E-2"/>
                </c:manualLayout>
              </c:layout>
              <c:tx>
                <c:rich>
                  <a:bodyPr/>
                  <a:lstStyle/>
                  <a:p>
                    <a:fld id="{7C7C2FF5-6202-4CA3-BEB5-6EEC9AA52CB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540A-44F8-9987-CD388CF585E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'Exp Misc'!$AV$3:$AV$5</c:f>
              <c:numCache>
                <c:formatCode>General</c:formatCode>
                <c:ptCount val="3"/>
                <c:pt idx="0">
                  <c:v>0.11300782936665954</c:v>
                </c:pt>
                <c:pt idx="1">
                  <c:v>1.4638634778805004E-2</c:v>
                </c:pt>
                <c:pt idx="2">
                  <c:v>0.13762009710757772</c:v>
                </c:pt>
              </c:numCache>
            </c:numRef>
          </c:xVal>
          <c:yVal>
            <c:numRef>
              <c:f>'Exp Misc'!$AZ$3:$AZ$5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540A-44F8-9987-CD388CF585E0}"/>
            </c:ext>
          </c:extLst>
        </c:ser>
        <c:ser>
          <c:idx val="2"/>
          <c:order val="2"/>
          <c:tx>
            <c:strRef>
              <c:f>'Unmeas Conf'!$AW$7</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799841ED-7F96-4F2C-9CC9-BAF1E194A2CA}"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540A-44F8-9987-CD388CF585E0}"/>
                </c:ext>
              </c:extLst>
            </c:dLbl>
            <c:dLbl>
              <c:idx val="1"/>
              <c:tx>
                <c:rich>
                  <a:bodyPr/>
                  <a:lstStyle/>
                  <a:p>
                    <a:fld id="{D6AFD086-9EFF-45EB-A003-296687E25E66}"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40A-44F8-9987-CD388CF585E0}"/>
                </c:ext>
              </c:extLst>
            </c:dLbl>
            <c:dLbl>
              <c:idx val="2"/>
              <c:tx>
                <c:rich>
                  <a:bodyPr/>
                  <a:lstStyle/>
                  <a:p>
                    <a:fld id="{86FFCD0D-13E5-4C09-A36F-32A4D947E2CB}"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40A-44F8-9987-CD388CF585E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'Unmeas Conf'!$AW$8:$AW$10</c:f>
              <c:numCache>
                <c:formatCode>General</c:formatCode>
                <c:ptCount val="3"/>
                <c:pt idx="0">
                  <c:v>9.4800571580730575E-2</c:v>
                </c:pt>
                <c:pt idx="1">
                  <c:v>1.4002986010016011E-2</c:v>
                </c:pt>
                <c:pt idx="2" formatCode="0.00000">
                  <c:v>8.5885781164366348E-2</c:v>
                </c:pt>
              </c:numCache>
            </c:numRef>
          </c:xVal>
          <c:yVal>
            <c:numRef>
              <c:f>'Unmeas Conf'!$AZ$8:$AZ$10</c:f>
              <c:numCache>
                <c:formatCode>General</c:formatCode>
                <c:ptCount val="3"/>
                <c:pt idx="0">
                  <c:v>2.5</c:v>
                </c:pt>
                <c:pt idx="1">
                  <c:v>1.5</c:v>
                </c:pt>
                <c:pt idx="2">
                  <c:v>0.5</c:v>
                </c:pt>
              </c:numCache>
              <c:extLst xmlns:c15="http://schemas.microsoft.com/office/drawing/2012/chart"/>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540A-44F8-9987-CD388CF585E0}"/>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S1,1</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Bias'!$AK$4:$AK$54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Bias'!$AL$4:$AL$54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1</c:v>
                </c:pt>
                <c:pt idx="49">
                  <c:v>1</c:v>
                </c:pt>
                <c:pt idx="50">
                  <c:v>0</c:v>
                </c:pt>
              </c:numCache>
            </c:numRef>
          </c:val>
          <c:extLst>
            <c:ext xmlns:c16="http://schemas.microsoft.com/office/drawing/2014/chart" uri="{C3380CC4-5D6E-409C-BE32-E72D297353CC}">
              <c16:uniqueId val="{00000000-EAA0-6047-BA0C-2A3034153E16}"/>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S1,0</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Bias'!$AK$4:$AK$54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Bias'!$AM$4:$AM$54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0</c:v>
                </c:pt>
                <c:pt idx="41">
                  <c:v>1</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A416-F84E-9503-8904913A92BB}"/>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S0,1</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Bias'!$AK$4:$AK$54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Bias'!$AN$4:$AN$54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c:v>
                </c:pt>
                <c:pt idx="45">
                  <c:v>0</c:v>
                </c:pt>
                <c:pt idx="46">
                  <c:v>1</c:v>
                </c:pt>
                <c:pt idx="47">
                  <c:v>0</c:v>
                </c:pt>
                <c:pt idx="48">
                  <c:v>0</c:v>
                </c:pt>
                <c:pt idx="49">
                  <c:v>0</c:v>
                </c:pt>
                <c:pt idx="50">
                  <c:v>0</c:v>
                </c:pt>
              </c:numCache>
            </c:numRef>
          </c:val>
          <c:extLst>
            <c:ext xmlns:c16="http://schemas.microsoft.com/office/drawing/2014/chart" uri="{C3380CC4-5D6E-409C-BE32-E72D297353CC}">
              <c16:uniqueId val="{00000000-4745-1C4E-A3D3-49E072D0A7A7}"/>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S0,0</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Bias'!$AK$4:$AK$54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Bias'!$AO$4:$AO$54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c:v>
                </c:pt>
                <c:pt idx="29">
                  <c:v>1</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9B8B-114A-BDD5-301BD61D8104}"/>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'Sel Bias'!$AX$2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'Sel Bias'!$AZ$3:$AZ$5</c:f>
                <c:numCache>
                  <c:formatCode>General</c:formatCode>
                  <c:ptCount val="3"/>
                  <c:pt idx="0">
                    <c:v>0.28173849095612358</c:v>
                  </c:pt>
                  <c:pt idx="1">
                    <c:v>0.12022307640502894</c:v>
                  </c:pt>
                  <c:pt idx="2">
                    <c:v>0.22268333422970343</c:v>
                  </c:pt>
                </c:numCache>
              </c:numRef>
            </c:plus>
            <c:minus>
              <c:numRef>
                <c:f>'Sel Bias'!$AY$3:$AY$5</c:f>
                <c:numCache>
                  <c:formatCode>General</c:formatCode>
                  <c:ptCount val="3"/>
                  <c:pt idx="0">
                    <c:v>0.22737966405060284</c:v>
                  </c:pt>
                  <c:pt idx="1">
                    <c:v>9.7680006863923197E-2</c:v>
                  </c:pt>
                  <c:pt idx="2">
                    <c:v>0.19610855401497496</c:v>
                  </c:pt>
                </c:numCache>
              </c:numRef>
            </c:minus>
            <c:spPr>
              <a:noFill/>
              <a:ln w="19050" cap="flat" cmpd="sng" algn="ctr">
                <a:solidFill>
                  <a:schemeClr val="tx1">
                    <a:lumMod val="65000"/>
                    <a:lumOff val="35000"/>
                  </a:schemeClr>
                </a:solidFill>
                <a:round/>
              </a:ln>
              <a:effectLst/>
            </c:spPr>
          </c:errBars>
          <c:xVal>
            <c:numRef>
              <c:f>'Sel Bias'!$AX$3:$AX$5</c:f>
              <c:numCache>
                <c:formatCode>General</c:formatCode>
                <c:ptCount val="3"/>
                <c:pt idx="0">
                  <c:v>1.1784949578671089</c:v>
                </c:pt>
                <c:pt idx="1">
                  <c:v>1.4787489287035953</c:v>
                </c:pt>
                <c:pt idx="2">
                  <c:v>1.5377483857270717</c:v>
                </c:pt>
              </c:numCache>
            </c:numRef>
          </c:xVal>
          <c:yVal>
            <c:numRef>
              <c:f>'Sel Bias'!$BC$3:$BC$5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0E29-4B05-98F2-AA9C09DA4E6D}"/>
            </c:ext>
          </c:extLst>
        </c:ser>
        <c:ser>
          <c:idx val="1"/>
          <c:order val="1"/>
          <c:tx>
            <c:strRef>
              <c:f>'Sel Bias'!$AY$2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DFBD30CA-8242-4E53-B4AF-91630CAAEA4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0E29-4B05-98F2-AA9C09DA4E6D}"/>
                </c:ext>
              </c:extLst>
            </c:dLbl>
            <c:dLbl>
              <c:idx val="1"/>
              <c:layout>
                <c:manualLayout>
                  <c:x val="-0.50449948718504845"/>
                  <c:y val="-2.4117746334781113E-3"/>
                </c:manualLayout>
              </c:layout>
              <c:tx>
                <c:rich>
                  <a:bodyPr/>
                  <a:lstStyle/>
                  <a:p>
                    <a:fld id="{EA68F2A8-34A5-4A7E-B9E8-40570A087E3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0E29-4B05-98F2-AA9C09DA4E6D}"/>
                </c:ext>
              </c:extLst>
            </c:dLbl>
            <c:dLbl>
              <c:idx val="2"/>
              <c:layout>
                <c:manualLayout>
                  <c:x val="-0.54715457564823433"/>
                  <c:y val="-7.2351789097746325E-3"/>
                </c:manualLayout>
              </c:layout>
              <c:tx>
                <c:rich>
                  <a:bodyPr/>
                  <a:lstStyle/>
                  <a:p>
                    <a:fld id="{AB28C9F1-E8F3-41DD-A594-9A819669B6F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0E29-4B05-98F2-AA9C09DA4E6D}"/>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'Sel Bias'!$AY$3:$AY$5</c:f>
              <c:numCache>
                <c:formatCode>General</c:formatCode>
                <c:ptCount val="3"/>
                <c:pt idx="0">
                  <c:v>0.22737966405060284</c:v>
                </c:pt>
                <c:pt idx="1">
                  <c:v>9.7680006863923197E-2</c:v>
                </c:pt>
                <c:pt idx="2" formatCode="0.00000">
                  <c:v>0.19610855401497496</c:v>
                </c:pt>
              </c:numCache>
            </c:numRef>
          </c:xVal>
          <c:yVal>
            <c:numRef>
              <c:f>'Sel Bias'!$BC$3:$BC$5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0E29-4B05-98F2-AA9C09DA4E6D}"/>
            </c:ext>
          </c:extLst>
        </c:ser>
        <c:ser>
          <c:idx val="2"/>
          <c:order val="2"/>
          <c:tx>
            <c:strRef>
              <c:f>'Sel Bias'!$AZ$2</c:f>
              <c:strCache>
                <c:ptCount val="1"/>
                <c:pt idx="0">
                  <c:v>Upper</c:v>
                </c:pt>
              </c:strCache>
            </c:strRef>
          </c:tx>
          <c:spPr>
            <a:ln w="25400" cap="rnd">
              <a:noFill/>
              <a:round/>
            </a:ln>
            <a:effectLst/>
          </c:spPr>
          <c:marker>
            <c:symbol val="circle"/>
            <c:size val="5"/>
            <c:spPr>
              <a:noFill/>
              <a:ln w="9525">
                <a:noFill/>
              </a:ln>
              <a:effectLst/>
            </c:spPr>
          </c:marker>
          <c:xVal>
            <c:numRef>
              <c:f>'Sel Bias'!$AZ$3:$AZ$5</c:f>
              <c:numCache>
                <c:formatCode>General</c:formatCode>
                <c:ptCount val="3"/>
                <c:pt idx="0">
                  <c:v>0.28173849095612358</c:v>
                </c:pt>
                <c:pt idx="1">
                  <c:v>0.12022307640502894</c:v>
                </c:pt>
                <c:pt idx="2" formatCode="0.00000">
                  <c:v>0.22268333422970343</c:v>
                </c:pt>
              </c:numCache>
            </c:numRef>
          </c:xVal>
          <c:yVal>
            <c:numRef>
              <c:f>'Sel Bias'!$BC$3:$BC$5</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0E29-4B05-98F2-AA9C09DA4E6D}"/>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'Sel Bias'!$AX$7</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'Sel Bias'!$AZ$8:$AZ$10</c:f>
                <c:numCache>
                  <c:formatCode>General</c:formatCode>
                  <c:ptCount val="3"/>
                  <c:pt idx="0">
                    <c:v>0.41285969470381501</c:v>
                  </c:pt>
                  <c:pt idx="1">
                    <c:v>0.16366530322273509</c:v>
                  </c:pt>
                  <c:pt idx="2">
                    <c:v>0.47590103684270413</c:v>
                  </c:pt>
                </c:numCache>
              </c:numRef>
            </c:plus>
            <c:minus>
              <c:numRef>
                <c:f>'Sel Bias'!$AY$8:$AY$10</c:f>
                <c:numCache>
                  <c:formatCode>General</c:formatCode>
                  <c:ptCount val="3"/>
                  <c:pt idx="0">
                    <c:v>0.31008995578543608</c:v>
                  </c:pt>
                  <c:pt idx="1">
                    <c:v>0.12960426950721038</c:v>
                  </c:pt>
                  <c:pt idx="2">
                    <c:v>0.22091446095740785</c:v>
                  </c:pt>
                </c:numCache>
              </c:numRef>
            </c:minus>
            <c:spPr>
              <a:noFill/>
              <a:ln w="19050" cap="flat" cmpd="sng" algn="ctr">
                <a:solidFill>
                  <a:schemeClr val="tx1">
                    <a:lumMod val="65000"/>
                    <a:lumOff val="35000"/>
                  </a:schemeClr>
                </a:solidFill>
                <a:round/>
              </a:ln>
              <a:effectLst/>
            </c:spPr>
          </c:errBars>
          <c:xVal>
            <c:numRef>
              <c:f>'Sel Bias'!$AX$8:$AX$10</c:f>
              <c:numCache>
                <c:formatCode>General</c:formatCode>
                <c:ptCount val="3"/>
                <c:pt idx="0">
                  <c:v>1.2457328959254506</c:v>
                </c:pt>
                <c:pt idx="1">
                  <c:v>1.6255774508530192</c:v>
                </c:pt>
                <c:pt idx="2">
                  <c:v>1.5197729008696719</c:v>
                </c:pt>
              </c:numCache>
            </c:numRef>
          </c:xVal>
          <c:yVal>
            <c:numRef>
              <c:f>'Sel Bias'!$BC$8:$BC$10</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7C64-477F-92B9-5CB2E86D1D51}"/>
            </c:ext>
          </c:extLst>
        </c:ser>
        <c:ser>
          <c:idx val="1"/>
          <c:order val="1"/>
          <c:tx>
            <c:strRef>
              <c:f>'Sel Bias'!$AY$7</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47922233979590007"/>
                  <c:y val="1.5741345942494385E-2"/>
                </c:manualLayout>
              </c:layout>
              <c:tx>
                <c:rich>
                  <a:bodyPr/>
                  <a:lstStyle/>
                  <a:p>
                    <a:fld id="{33620DE3-FFA4-4421-AD6D-94B54082DEF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7C64-477F-92B9-5CB2E86D1D51}"/>
                </c:ext>
              </c:extLst>
            </c:dLbl>
            <c:dLbl>
              <c:idx val="1"/>
              <c:layout>
                <c:manualLayout>
                  <c:x val="-0.56304918360115297"/>
                  <c:y val="-2.4117389017283305E-3"/>
                </c:manualLayout>
              </c:layout>
              <c:tx>
                <c:rich>
                  <a:bodyPr/>
                  <a:lstStyle/>
                  <a:p>
                    <a:fld id="{8FD224EF-65A0-4179-8601-1E3EA4261E8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7C64-477F-92B9-5CB2E86D1D51}"/>
                </c:ext>
              </c:extLst>
            </c:dLbl>
            <c:dLbl>
              <c:idx val="2"/>
              <c:layout>
                <c:manualLayout>
                  <c:x val="-0.40250196971826668"/>
                  <c:y val="-1.4600704422621095E-2"/>
                </c:manualLayout>
              </c:layout>
              <c:tx>
                <c:rich>
                  <a:bodyPr/>
                  <a:lstStyle/>
                  <a:p>
                    <a:fld id="{DE17CFDA-A012-4028-A147-89C5611FED3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7C64-477F-92B9-5CB2E86D1D51}"/>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'Sel Bias'!$AY$8:$AY$10</c:f>
              <c:numCache>
                <c:formatCode>General</c:formatCode>
                <c:ptCount val="3"/>
                <c:pt idx="0">
                  <c:v>0.31008995578543608</c:v>
                </c:pt>
                <c:pt idx="1">
                  <c:v>0.12960426950721038</c:v>
                </c:pt>
                <c:pt idx="2" formatCode="0.00000">
                  <c:v>0.22091446095740785</c:v>
                </c:pt>
              </c:numCache>
            </c:numRef>
          </c:xVal>
          <c:yVal>
            <c:numRef>
              <c:f>'Sel Bias'!$BC$8:$BC$10</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7C64-477F-92B9-5CB2E86D1D51}"/>
            </c:ext>
          </c:extLst>
        </c:ser>
        <c:ser>
          <c:idx val="2"/>
          <c:order val="2"/>
          <c:tx>
            <c:strRef>
              <c:f>'Sel Bias'!$AZ$7</c:f>
              <c:strCache>
                <c:ptCount val="1"/>
                <c:pt idx="0">
                  <c:v>Upper</c:v>
                </c:pt>
              </c:strCache>
            </c:strRef>
          </c:tx>
          <c:spPr>
            <a:ln w="25400" cap="rnd">
              <a:noFill/>
              <a:round/>
            </a:ln>
            <a:effectLst/>
          </c:spPr>
          <c:marker>
            <c:symbol val="circle"/>
            <c:size val="5"/>
            <c:spPr>
              <a:noFill/>
              <a:ln w="9525">
                <a:noFill/>
              </a:ln>
              <a:effectLst/>
            </c:spPr>
          </c:marker>
          <c:xVal>
            <c:numRef>
              <c:f>'Sel Bias'!$AZ$8:$AZ$10</c:f>
              <c:numCache>
                <c:formatCode>General</c:formatCode>
                <c:ptCount val="3"/>
                <c:pt idx="0">
                  <c:v>0.41285969470381501</c:v>
                </c:pt>
                <c:pt idx="1">
                  <c:v>0.16366530322273509</c:v>
                </c:pt>
                <c:pt idx="2" formatCode="0.00000">
                  <c:v>0.47590103684270413</c:v>
                </c:pt>
              </c:numCache>
            </c:numRef>
          </c:xVal>
          <c:yVal>
            <c:numRef>
              <c:f>'Sel Bias'!$BC$8:$BC$10</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7C64-477F-92B9-5CB2E86D1D51}"/>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5" fmlaLink="$E$12" fmlaRange="$AS$3:$AU$4"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15" fmlaLink="$E$12" fmlaRange="$AS$3:$AU$4" noThreeD="1" sel="2"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chart" Target="../charts/chart17.xml"/><Relationship Id="rId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6" Type="http://schemas.openxmlformats.org/officeDocument/2006/relationships/chart" Target="../charts/chart23.xml"/><Relationship Id="rId5" Type="http://schemas.openxmlformats.org/officeDocument/2006/relationships/chart" Target="../charts/chart22.xml"/><Relationship Id="rId4"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4</xdr:col>
      <xdr:colOff>83038</xdr:colOff>
      <xdr:row>33</xdr:row>
      <xdr:rowOff>50800</xdr:rowOff>
    </xdr:from>
    <xdr:to>
      <xdr:col>9</xdr:col>
      <xdr:colOff>133838</xdr:colOff>
      <xdr:row>44</xdr:row>
      <xdr:rowOff>25400</xdr:rowOff>
    </xdr:to>
    <xdr:graphicFrame macro="">
      <xdr:nvGraphicFramePr>
        <xdr:cNvPr id="212762" name="Chart 46">
          <a:extLst>
            <a:ext uri="{FF2B5EF4-FFF2-40B4-BE49-F238E27FC236}">
              <a16:creationId xmlns:a16="http://schemas.microsoft.com/office/drawing/2014/main" id="{00000000-0008-0000-0100-00001A3F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50801</xdr:colOff>
      <xdr:row>33</xdr:row>
      <xdr:rowOff>50800</xdr:rowOff>
    </xdr:from>
    <xdr:to>
      <xdr:col>4</xdr:col>
      <xdr:colOff>48847</xdr:colOff>
      <xdr:row>44</xdr:row>
      <xdr:rowOff>25400</xdr:rowOff>
    </xdr:to>
    <xdr:graphicFrame macro="">
      <xdr:nvGraphicFramePr>
        <xdr:cNvPr id="212763" name="Chart 51">
          <a:extLst>
            <a:ext uri="{FF2B5EF4-FFF2-40B4-BE49-F238E27FC236}">
              <a16:creationId xmlns:a16="http://schemas.microsoft.com/office/drawing/2014/main" id="{00000000-0008-0000-0100-00001B3F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546100</xdr:colOff>
      <xdr:row>33</xdr:row>
      <xdr:rowOff>50800</xdr:rowOff>
    </xdr:from>
    <xdr:to>
      <xdr:col>18</xdr:col>
      <xdr:colOff>38100</xdr:colOff>
      <xdr:row>44</xdr:row>
      <xdr:rowOff>101600</xdr:rowOff>
    </xdr:to>
    <xdr:graphicFrame macro="">
      <xdr:nvGraphicFramePr>
        <xdr:cNvPr id="212764" name="Chart 52">
          <a:extLst>
            <a:ext uri="{FF2B5EF4-FFF2-40B4-BE49-F238E27FC236}">
              <a16:creationId xmlns:a16="http://schemas.microsoft.com/office/drawing/2014/main" id="{00000000-0008-0000-0100-00001C3F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38100</xdr:colOff>
      <xdr:row>33</xdr:row>
      <xdr:rowOff>50800</xdr:rowOff>
    </xdr:from>
    <xdr:to>
      <xdr:col>13</xdr:col>
      <xdr:colOff>12700</xdr:colOff>
      <xdr:row>44</xdr:row>
      <xdr:rowOff>101600</xdr:rowOff>
    </xdr:to>
    <xdr:graphicFrame macro="">
      <xdr:nvGraphicFramePr>
        <xdr:cNvPr id="212765" name="Chart 53">
          <a:extLst>
            <a:ext uri="{FF2B5EF4-FFF2-40B4-BE49-F238E27FC236}">
              <a16:creationId xmlns:a16="http://schemas.microsoft.com/office/drawing/2014/main" id="{00000000-0008-0000-0100-00001D3F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xdr:row>
      <xdr:rowOff>47625</xdr:rowOff>
    </xdr:from>
    <xdr:to>
      <xdr:col>15</xdr:col>
      <xdr:colOff>571500</xdr:colOff>
      <xdr:row>4</xdr:row>
      <xdr:rowOff>123825</xdr:rowOff>
    </xdr:to>
    <xdr:sp macro="" textlink="">
      <xdr:nvSpPr>
        <xdr:cNvPr id="6" name="Rectangle 61">
          <a:extLst>
            <a:ext uri="{FF2B5EF4-FFF2-40B4-BE49-F238E27FC236}">
              <a16:creationId xmlns:a16="http://schemas.microsoft.com/office/drawing/2014/main" id="{00000000-0008-0000-0100-000006000000}"/>
            </a:ext>
          </a:extLst>
        </xdr:cNvPr>
        <xdr:cNvSpPr>
          <a:spLocks noChangeArrowheads="1"/>
        </xdr:cNvSpPr>
      </xdr:nvSpPr>
      <xdr:spPr bwMode="auto">
        <a:xfrm>
          <a:off x="190500" y="295275"/>
          <a:ext cx="7172325" cy="4095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spreadsheet can be used to conduct a probabilistic bias analysis to adjust for exposure misclassification and random error simultaneously. The example follows the example in chapter 8.</a:t>
          </a:r>
        </a:p>
      </xdr:txBody>
    </xdr:sp>
    <xdr:clientData/>
  </xdr:twoCellAnchor>
  <xdr:twoCellAnchor>
    <xdr:from>
      <xdr:col>10</xdr:col>
      <xdr:colOff>79375</xdr:colOff>
      <xdr:row>6</xdr:row>
      <xdr:rowOff>85724</xdr:rowOff>
    </xdr:from>
    <xdr:to>
      <xdr:col>16</xdr:col>
      <xdr:colOff>139687</xdr:colOff>
      <xdr:row>10</xdr:row>
      <xdr:rowOff>133350</xdr:rowOff>
    </xdr:to>
    <xdr:sp macro="" textlink="">
      <xdr:nvSpPr>
        <xdr:cNvPr id="7" name="Rectangle 62">
          <a:extLst>
            <a:ext uri="{FF2B5EF4-FFF2-40B4-BE49-F238E27FC236}">
              <a16:creationId xmlns:a16="http://schemas.microsoft.com/office/drawing/2014/main" id="{00000000-0008-0000-0100-000007000000}"/>
            </a:ext>
          </a:extLst>
        </xdr:cNvPr>
        <xdr:cNvSpPr>
          <a:spLocks noChangeArrowheads="1"/>
        </xdr:cNvSpPr>
      </xdr:nvSpPr>
      <xdr:spPr bwMode="auto">
        <a:xfrm>
          <a:off x="4638675" y="990599"/>
          <a:ext cx="2876549" cy="762001"/>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1000" b="0" i="0" strike="noStrike">
              <a:solidFill>
                <a:srgbClr val="000000"/>
              </a:solidFill>
              <a:latin typeface="Arial"/>
              <a:cs typeface="Arial"/>
            </a:rPr>
            <a:t>Enter bias parameter distributions in blue cells to the left and observed data in blue cells below. Cells in green give results after correcting for exposure misclassification. Note: green cells don't have to be integers.</a:t>
          </a:r>
          <a:endParaRPr lang="en-US" sz="1000" b="0" i="0" u="sng" strike="noStrike">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11</xdr:col>
          <xdr:colOff>317500</xdr:colOff>
          <xdr:row>11</xdr:row>
          <xdr:rowOff>177800</xdr:rowOff>
        </xdr:from>
        <xdr:to>
          <xdr:col>14</xdr:col>
          <xdr:colOff>393700</xdr:colOff>
          <xdr:row>13</xdr:row>
          <xdr:rowOff>139700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0100-0000013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12700</xdr:rowOff>
        </xdr:from>
        <xdr:to>
          <xdr:col>5</xdr:col>
          <xdr:colOff>19050</xdr:colOff>
          <xdr:row>12</xdr:row>
          <xdr:rowOff>0</xdr:rowOff>
        </xdr:to>
        <xdr:sp macro="" textlink="">
          <xdr:nvSpPr>
            <xdr:cNvPr id="211970" name="Drop Down 2" hidden="1">
              <a:extLst>
                <a:ext uri="{63B3BB69-23CF-44E3-9099-C40C66FF867C}">
                  <a14:compatExt spid="_x0000_s211970"/>
                </a:ext>
                <a:ext uri="{FF2B5EF4-FFF2-40B4-BE49-F238E27FC236}">
                  <a16:creationId xmlns:a16="http://schemas.microsoft.com/office/drawing/2014/main" id="{00000000-0008-0000-0100-000002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51093</xdr:colOff>
      <xdr:row>52</xdr:row>
      <xdr:rowOff>29195</xdr:rowOff>
    </xdr:from>
    <xdr:to>
      <xdr:col>11</xdr:col>
      <xdr:colOff>248161</xdr:colOff>
      <xdr:row>73</xdr:row>
      <xdr:rowOff>10739</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474424</xdr:colOff>
      <xdr:row>52</xdr:row>
      <xdr:rowOff>58392</xdr:rowOff>
    </xdr:from>
    <xdr:to>
      <xdr:col>22</xdr:col>
      <xdr:colOff>240862</xdr:colOff>
      <xdr:row>73</xdr:row>
      <xdr:rowOff>39936</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152400</xdr:colOff>
      <xdr:row>34</xdr:row>
      <xdr:rowOff>25400</xdr:rowOff>
    </xdr:from>
    <xdr:to>
      <xdr:col>8</xdr:col>
      <xdr:colOff>482600</xdr:colOff>
      <xdr:row>43</xdr:row>
      <xdr:rowOff>152400</xdr:rowOff>
    </xdr:to>
    <xdr:graphicFrame macro="">
      <xdr:nvGraphicFramePr>
        <xdr:cNvPr id="6766" name="Chart 14">
          <a:extLst>
            <a:ext uri="{FF2B5EF4-FFF2-40B4-BE49-F238E27FC236}">
              <a16:creationId xmlns:a16="http://schemas.microsoft.com/office/drawing/2014/main" id="{00000000-0008-0000-0200-00006E1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33</xdr:row>
      <xdr:rowOff>25400</xdr:rowOff>
    </xdr:from>
    <xdr:to>
      <xdr:col>4</xdr:col>
      <xdr:colOff>38100</xdr:colOff>
      <xdr:row>43</xdr:row>
      <xdr:rowOff>139700</xdr:rowOff>
    </xdr:to>
    <xdr:graphicFrame macro="">
      <xdr:nvGraphicFramePr>
        <xdr:cNvPr id="6767" name="Chart 15">
          <a:extLst>
            <a:ext uri="{FF2B5EF4-FFF2-40B4-BE49-F238E27FC236}">
              <a16:creationId xmlns:a16="http://schemas.microsoft.com/office/drawing/2014/main" id="{00000000-0008-0000-0200-00006F1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584200</xdr:colOff>
      <xdr:row>33</xdr:row>
      <xdr:rowOff>12700</xdr:rowOff>
    </xdr:from>
    <xdr:to>
      <xdr:col>15</xdr:col>
      <xdr:colOff>342900</xdr:colOff>
      <xdr:row>43</xdr:row>
      <xdr:rowOff>139700</xdr:rowOff>
    </xdr:to>
    <xdr:graphicFrame macro="">
      <xdr:nvGraphicFramePr>
        <xdr:cNvPr id="6768" name="Chart 16">
          <a:extLst>
            <a:ext uri="{FF2B5EF4-FFF2-40B4-BE49-F238E27FC236}">
              <a16:creationId xmlns:a16="http://schemas.microsoft.com/office/drawing/2014/main" id="{00000000-0008-0000-0200-0000701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419100</xdr:colOff>
      <xdr:row>33</xdr:row>
      <xdr:rowOff>38100</xdr:rowOff>
    </xdr:from>
    <xdr:to>
      <xdr:col>12</xdr:col>
      <xdr:colOff>0</xdr:colOff>
      <xdr:row>44</xdr:row>
      <xdr:rowOff>25400</xdr:rowOff>
    </xdr:to>
    <xdr:graphicFrame macro="">
      <xdr:nvGraphicFramePr>
        <xdr:cNvPr id="6769" name="Chart 17">
          <a:extLst>
            <a:ext uri="{FF2B5EF4-FFF2-40B4-BE49-F238E27FC236}">
              <a16:creationId xmlns:a16="http://schemas.microsoft.com/office/drawing/2014/main" id="{00000000-0008-0000-0200-0000711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xdr:row>
      <xdr:rowOff>57150</xdr:rowOff>
    </xdr:from>
    <xdr:to>
      <xdr:col>15</xdr:col>
      <xdr:colOff>263515</xdr:colOff>
      <xdr:row>4</xdr:row>
      <xdr:rowOff>133350</xdr:rowOff>
    </xdr:to>
    <xdr:sp macro="" textlink="">
      <xdr:nvSpPr>
        <xdr:cNvPr id="6169" name="Rectangle 25">
          <a:extLst>
            <a:ext uri="{FF2B5EF4-FFF2-40B4-BE49-F238E27FC236}">
              <a16:creationId xmlns:a16="http://schemas.microsoft.com/office/drawing/2014/main" id="{00000000-0008-0000-0200-000019180000}"/>
            </a:ext>
          </a:extLst>
        </xdr:cNvPr>
        <xdr:cNvSpPr>
          <a:spLocks noChangeArrowheads="1"/>
        </xdr:cNvSpPr>
      </xdr:nvSpPr>
      <xdr:spPr bwMode="auto">
        <a:xfrm>
          <a:off x="190500" y="295275"/>
          <a:ext cx="6896100" cy="4095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spreadsheet can be used to conduct a probabilistic bias analysis to adjust for outcome misclassification and random error simultaneously. The example follows the example in chapter 8.</a:t>
          </a:r>
        </a:p>
      </xdr:txBody>
    </xdr:sp>
    <xdr:clientData/>
  </xdr:twoCellAnchor>
  <xdr:twoCellAnchor>
    <xdr:from>
      <xdr:col>10</xdr:col>
      <xdr:colOff>41275</xdr:colOff>
      <xdr:row>6</xdr:row>
      <xdr:rowOff>28575</xdr:rowOff>
    </xdr:from>
    <xdr:to>
      <xdr:col>16</xdr:col>
      <xdr:colOff>50800</xdr:colOff>
      <xdr:row>11</xdr:row>
      <xdr:rowOff>95250</xdr:rowOff>
    </xdr:to>
    <xdr:sp macro="" textlink="">
      <xdr:nvSpPr>
        <xdr:cNvPr id="6170" name="Rectangle 26">
          <a:extLst>
            <a:ext uri="{FF2B5EF4-FFF2-40B4-BE49-F238E27FC236}">
              <a16:creationId xmlns:a16="http://schemas.microsoft.com/office/drawing/2014/main" id="{00000000-0008-0000-0200-00001A180000}"/>
            </a:ext>
          </a:extLst>
        </xdr:cNvPr>
        <xdr:cNvSpPr>
          <a:spLocks noChangeArrowheads="1"/>
        </xdr:cNvSpPr>
      </xdr:nvSpPr>
      <xdr:spPr bwMode="auto">
        <a:xfrm>
          <a:off x="4918075" y="930275"/>
          <a:ext cx="3565525" cy="942975"/>
        </a:xfrm>
        <a:prstGeom prst="rect">
          <a:avLst/>
        </a:prstGeom>
        <a:solidFill>
          <a:srgbClr val="FFFFFF"/>
        </a:solidFill>
        <a:ln w="9525">
          <a:noFill/>
          <a:miter lim="800000"/>
          <a:headEnd/>
          <a:tailEnd/>
        </a:ln>
      </xdr:spPr>
      <xdr:txBody>
        <a:bodyPr vertOverflow="clip" wrap="square" lIns="27432" tIns="22860" rIns="27432" bIns="0" anchor="t"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strike="noStrike">
              <a:solidFill>
                <a:srgbClr val="000000"/>
              </a:solidFill>
              <a:latin typeface="Arial"/>
              <a:cs typeface="Arial"/>
            </a:rPr>
            <a:t>Enter bias parameter distributions in blue cells to left and observed data in blue cells below. Cells in green give the results after correcting for outcome misclassification. Note: green cells are expected values and therefore do not have to be</a:t>
          </a:r>
          <a:r>
            <a:rPr lang="en-US" sz="1000" b="0" i="0" u="none">
              <a:effectLst/>
              <a:latin typeface="+mn-lt"/>
              <a:ea typeface="+mn-ea"/>
              <a:cs typeface="+mn-cs"/>
            </a:rPr>
            <a:t>.</a:t>
          </a:r>
          <a:endParaRPr lang="en-US" u="none">
            <a:effectLst/>
          </a:endParaRPr>
        </a:p>
        <a:p>
          <a:pPr algn="ctr" rtl="0">
            <a:defRPr sz="1000"/>
          </a:pPr>
          <a:endParaRPr lang="en-US" sz="1000" b="0" i="0" strike="noStrike">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11</xdr:col>
          <xdr:colOff>355600</xdr:colOff>
          <xdr:row>11</xdr:row>
          <xdr:rowOff>203200</xdr:rowOff>
        </xdr:from>
        <xdr:to>
          <xdr:col>14</xdr:col>
          <xdr:colOff>444500</xdr:colOff>
          <xdr:row>13</xdr:row>
          <xdr:rowOff>88900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12700</xdr:rowOff>
        </xdr:from>
        <xdr:to>
          <xdr:col>5</xdr:col>
          <xdr:colOff>25400</xdr:colOff>
          <xdr:row>12</xdr:row>
          <xdr:rowOff>12700</xdr:rowOff>
        </xdr:to>
        <xdr:sp macro="" textlink="">
          <xdr:nvSpPr>
            <xdr:cNvPr id="6172" name="Drop Down 28" hidden="1">
              <a:extLst>
                <a:ext uri="{63B3BB69-23CF-44E3-9099-C40C66FF867C}">
                  <a14:compatExt spid="_x0000_s6172"/>
                </a:ext>
                <a:ext uri="{FF2B5EF4-FFF2-40B4-BE49-F238E27FC236}">
                  <a16:creationId xmlns:a16="http://schemas.microsoft.com/office/drawing/2014/main" id="{00000000-0008-0000-0200-00001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151452</xdr:colOff>
      <xdr:row>51</xdr:row>
      <xdr:rowOff>55837</xdr:rowOff>
    </xdr:from>
    <xdr:to>
      <xdr:col>11</xdr:col>
      <xdr:colOff>317500</xdr:colOff>
      <xdr:row>72</xdr:row>
      <xdr:rowOff>101793</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444500</xdr:colOff>
      <xdr:row>51</xdr:row>
      <xdr:rowOff>63500</xdr:rowOff>
    </xdr:from>
    <xdr:to>
      <xdr:col>22</xdr:col>
      <xdr:colOff>71437</xdr:colOff>
      <xdr:row>72</xdr:row>
      <xdr:rowOff>109456</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66675</xdr:rowOff>
    </xdr:from>
    <xdr:to>
      <xdr:col>17</xdr:col>
      <xdr:colOff>0</xdr:colOff>
      <xdr:row>4</xdr:row>
      <xdr:rowOff>104775</xdr:rowOff>
    </xdr:to>
    <xdr:sp macro="" textlink="">
      <xdr:nvSpPr>
        <xdr:cNvPr id="2" name="Rectangle 39">
          <a:extLst>
            <a:ext uri="{FF2B5EF4-FFF2-40B4-BE49-F238E27FC236}">
              <a16:creationId xmlns:a16="http://schemas.microsoft.com/office/drawing/2014/main" id="{00000000-0008-0000-0300-000002000000}"/>
            </a:ext>
          </a:extLst>
        </xdr:cNvPr>
        <xdr:cNvSpPr>
          <a:spLocks noChangeArrowheads="1"/>
        </xdr:cNvSpPr>
      </xdr:nvSpPr>
      <xdr:spPr bwMode="auto">
        <a:xfrm>
          <a:off x="215900" y="307975"/>
          <a:ext cx="8166100" cy="3810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spreadsheet can be used to conduct a probabilistic bias analysis to adjust for uncontrolled confounding and random error simultaneously. The example follows the example in chapter 8.</a:t>
          </a:r>
        </a:p>
      </xdr:txBody>
    </xdr:sp>
    <xdr:clientData/>
  </xdr:twoCellAnchor>
  <xdr:twoCellAnchor>
    <xdr:from>
      <xdr:col>10</xdr:col>
      <xdr:colOff>57150</xdr:colOff>
      <xdr:row>6</xdr:row>
      <xdr:rowOff>66675</xdr:rowOff>
    </xdr:from>
    <xdr:to>
      <xdr:col>17</xdr:col>
      <xdr:colOff>88922</xdr:colOff>
      <xdr:row>11</xdr:row>
      <xdr:rowOff>104775</xdr:rowOff>
    </xdr:to>
    <xdr:sp macro="" textlink="">
      <xdr:nvSpPr>
        <xdr:cNvPr id="3" name="Rectangle 40">
          <a:extLst>
            <a:ext uri="{FF2B5EF4-FFF2-40B4-BE49-F238E27FC236}">
              <a16:creationId xmlns:a16="http://schemas.microsoft.com/office/drawing/2014/main" id="{00000000-0008-0000-0300-000003000000}"/>
            </a:ext>
          </a:extLst>
        </xdr:cNvPr>
        <xdr:cNvSpPr>
          <a:spLocks noChangeArrowheads="1"/>
        </xdr:cNvSpPr>
      </xdr:nvSpPr>
      <xdr:spPr bwMode="auto">
        <a:xfrm>
          <a:off x="4832350" y="968375"/>
          <a:ext cx="3638572" cy="977900"/>
        </a:xfrm>
        <a:prstGeom prst="rect">
          <a:avLst/>
        </a:prstGeom>
        <a:solidFill>
          <a:srgbClr val="FFFFFF"/>
        </a:solidFill>
        <a:ln w="9525">
          <a:noFill/>
          <a:miter lim="800000"/>
          <a:headEnd/>
          <a:tailEnd/>
        </a:ln>
      </xdr:spPr>
      <xdr:txBody>
        <a:bodyPr vertOverflow="clip" wrap="square" lIns="27432" tIns="22860" rIns="27432" bIns="0" anchor="t" upright="1"/>
        <a:lstStyle/>
        <a:p>
          <a:pPr marL="0" marR="0" indent="0" algn="ctr" defTabSz="914400" rtl="0" eaLnBrk="1" fontAlgn="auto" latinLnBrk="0" hangingPunct="1">
            <a:lnSpc>
              <a:spcPts val="1000"/>
            </a:lnSpc>
            <a:spcBef>
              <a:spcPts val="0"/>
            </a:spcBef>
            <a:spcAft>
              <a:spcPts val="0"/>
            </a:spcAft>
            <a:buClrTx/>
            <a:buSzTx/>
            <a:buFontTx/>
            <a:buNone/>
            <a:tabLst/>
            <a:defRPr sz="1000"/>
          </a:pPr>
          <a:r>
            <a:rPr lang="en-US" sz="1000" b="0" i="0" strike="noStrike">
              <a:solidFill>
                <a:srgbClr val="000000"/>
              </a:solidFill>
              <a:latin typeface="Arial"/>
              <a:cs typeface="Arial"/>
            </a:rPr>
            <a:t>Enter distributions for the bias parameters in the blue cells to the left and the crude data in the blue cells below. Cells in green give the results after adjusting for the uncontrolled confounder. Note that white cells are expected values and therefore do not have to be </a:t>
          </a:r>
        </a:p>
      </xdr:txBody>
    </xdr:sp>
    <xdr:clientData/>
  </xdr:twoCellAnchor>
  <xdr:twoCellAnchor>
    <xdr:from>
      <xdr:col>1</xdr:col>
      <xdr:colOff>12700</xdr:colOff>
      <xdr:row>37</xdr:row>
      <xdr:rowOff>63500</xdr:rowOff>
    </xdr:from>
    <xdr:to>
      <xdr:col>7</xdr:col>
      <xdr:colOff>63500</xdr:colOff>
      <xdr:row>45</xdr:row>
      <xdr:rowOff>38100</xdr:rowOff>
    </xdr:to>
    <xdr:graphicFrame macro="">
      <xdr:nvGraphicFramePr>
        <xdr:cNvPr id="4" name="Chart 42">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127000</xdr:colOff>
      <xdr:row>37</xdr:row>
      <xdr:rowOff>25400</xdr:rowOff>
    </xdr:from>
    <xdr:to>
      <xdr:col>12</xdr:col>
      <xdr:colOff>165100</xdr:colOff>
      <xdr:row>45</xdr:row>
      <xdr:rowOff>12700</xdr:rowOff>
    </xdr:to>
    <xdr:graphicFrame macro="">
      <xdr:nvGraphicFramePr>
        <xdr:cNvPr id="5" name="Chart 45">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37</xdr:row>
      <xdr:rowOff>38100</xdr:rowOff>
    </xdr:from>
    <xdr:to>
      <xdr:col>17</xdr:col>
      <xdr:colOff>88900</xdr:colOff>
      <xdr:row>44</xdr:row>
      <xdr:rowOff>76200</xdr:rowOff>
    </xdr:to>
    <xdr:graphicFrame macro="">
      <xdr:nvGraphicFramePr>
        <xdr:cNvPr id="6" name="Chart 46">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11</xdr:col>
          <xdr:colOff>254000</xdr:colOff>
          <xdr:row>11</xdr:row>
          <xdr:rowOff>88900</xdr:rowOff>
        </xdr:from>
        <xdr:to>
          <xdr:col>15</xdr:col>
          <xdr:colOff>88900</xdr:colOff>
          <xdr:row>13</xdr:row>
          <xdr:rowOff>63500</xdr:rowOff>
        </xdr:to>
        <xdr:sp macro="" textlink="">
          <xdr:nvSpPr>
            <xdr:cNvPr id="219137" name="Button 1" hidden="1">
              <a:extLst>
                <a:ext uri="{63B3BB69-23CF-44E3-9099-C40C66FF867C}">
                  <a14:compatExt spid="_x0000_s219137"/>
                </a:ext>
                <a:ext uri="{FF2B5EF4-FFF2-40B4-BE49-F238E27FC236}">
                  <a16:creationId xmlns:a16="http://schemas.microsoft.com/office/drawing/2014/main" id="{00000000-0008-0000-0300-00000158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xdr:twoCellAnchor>
    <xdr:from>
      <xdr:col>0</xdr:col>
      <xdr:colOff>0</xdr:colOff>
      <xdr:row>52</xdr:row>
      <xdr:rowOff>79650</xdr:rowOff>
    </xdr:from>
    <xdr:to>
      <xdr:col>10</xdr:col>
      <xdr:colOff>555625</xdr:colOff>
      <xdr:row>73</xdr:row>
      <xdr:rowOff>22418</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206374</xdr:colOff>
      <xdr:row>52</xdr:row>
      <xdr:rowOff>119050</xdr:rowOff>
    </xdr:from>
    <xdr:to>
      <xdr:col>20</xdr:col>
      <xdr:colOff>254000</xdr:colOff>
      <xdr:row>73</xdr:row>
      <xdr:rowOff>61818</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2</xdr:row>
      <xdr:rowOff>47625</xdr:rowOff>
    </xdr:from>
    <xdr:to>
      <xdr:col>17</xdr:col>
      <xdr:colOff>47625</xdr:colOff>
      <xdr:row>4</xdr:row>
      <xdr:rowOff>123825</xdr:rowOff>
    </xdr:to>
    <xdr:sp macro="" textlink="">
      <xdr:nvSpPr>
        <xdr:cNvPr id="2" name="Rectangle 23">
          <a:extLst>
            <a:ext uri="{FF2B5EF4-FFF2-40B4-BE49-F238E27FC236}">
              <a16:creationId xmlns:a16="http://schemas.microsoft.com/office/drawing/2014/main" id="{00000000-0008-0000-0400-000002000000}"/>
            </a:ext>
          </a:extLst>
        </xdr:cNvPr>
        <xdr:cNvSpPr>
          <a:spLocks noChangeArrowheads="1"/>
        </xdr:cNvSpPr>
      </xdr:nvSpPr>
      <xdr:spPr bwMode="auto">
        <a:xfrm>
          <a:off x="215900" y="288925"/>
          <a:ext cx="7718425" cy="4191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spreadsheet can be used to conduct a probabilistic bias analysis to adjust for selection bias and random error simultaneously. The example follows the example in chapter 8.</a:t>
          </a:r>
        </a:p>
      </xdr:txBody>
    </xdr:sp>
    <xdr:clientData/>
  </xdr:twoCellAnchor>
  <xdr:twoCellAnchor>
    <xdr:from>
      <xdr:col>13</xdr:col>
      <xdr:colOff>137583</xdr:colOff>
      <xdr:row>6</xdr:row>
      <xdr:rowOff>53975</xdr:rowOff>
    </xdr:from>
    <xdr:to>
      <xdr:col>18</xdr:col>
      <xdr:colOff>19025</xdr:colOff>
      <xdr:row>12</xdr:row>
      <xdr:rowOff>105833</xdr:rowOff>
    </xdr:to>
    <xdr:sp macro="" textlink="">
      <xdr:nvSpPr>
        <xdr:cNvPr id="3" name="Rectangle 24">
          <a:extLst>
            <a:ext uri="{FF2B5EF4-FFF2-40B4-BE49-F238E27FC236}">
              <a16:creationId xmlns:a16="http://schemas.microsoft.com/office/drawing/2014/main" id="{00000000-0008-0000-0400-000003000000}"/>
            </a:ext>
          </a:extLst>
        </xdr:cNvPr>
        <xdr:cNvSpPr>
          <a:spLocks noChangeArrowheads="1"/>
        </xdr:cNvSpPr>
      </xdr:nvSpPr>
      <xdr:spPr bwMode="auto">
        <a:xfrm>
          <a:off x="6449483" y="968375"/>
          <a:ext cx="1888042" cy="1144058"/>
        </a:xfrm>
        <a:prstGeom prst="rect">
          <a:avLst/>
        </a:prstGeom>
        <a:solidFill>
          <a:srgbClr val="FFFFFF"/>
        </a:solidFill>
        <a:ln w="9525">
          <a:noFill/>
          <a:miter lim="800000"/>
          <a:headEnd/>
          <a:tailEnd/>
        </a:ln>
      </xdr:spPr>
      <xdr:txBody>
        <a:bodyPr vertOverflow="clip" wrap="square" lIns="27432" tIns="22860" rIns="27432" bIns="0" anchor="t"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strike="noStrike">
              <a:solidFill>
                <a:srgbClr val="000000"/>
              </a:solidFill>
              <a:latin typeface="Arial"/>
              <a:cs typeface="Arial"/>
            </a:rPr>
            <a:t>Enter the bias parameter distributions in the blue cells to the left and the crude data in the blue cells below. Cells in green give the results after adjusting for the selection proportions</a:t>
          </a:r>
          <a:r>
            <a:rPr lang="en-US" sz="1000" b="0" i="0">
              <a:effectLst/>
              <a:latin typeface="+mn-lt"/>
              <a:ea typeface="+mn-ea"/>
              <a:cs typeface="+mn-cs"/>
            </a:rPr>
            <a:t>. </a:t>
          </a:r>
          <a:endParaRPr lang="en-US" sz="1000" b="0" i="0" strike="noStrike">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9</xdr:col>
          <xdr:colOff>139700</xdr:colOff>
          <xdr:row>10</xdr:row>
          <xdr:rowOff>101600</xdr:rowOff>
        </xdr:from>
        <xdr:to>
          <xdr:col>12</xdr:col>
          <xdr:colOff>317500</xdr:colOff>
          <xdr:row>12</xdr:row>
          <xdr:rowOff>25400</xdr:rowOff>
        </xdr:to>
        <xdr:sp macro="" textlink="">
          <xdr:nvSpPr>
            <xdr:cNvPr id="217089" name="Button 1" hidden="1">
              <a:extLst>
                <a:ext uri="{63B3BB69-23CF-44E3-9099-C40C66FF867C}">
                  <a14:compatExt spid="_x0000_s217089"/>
                </a:ext>
                <a:ext uri="{FF2B5EF4-FFF2-40B4-BE49-F238E27FC236}">
                  <a16:creationId xmlns:a16="http://schemas.microsoft.com/office/drawing/2014/main" id="{00000000-0008-0000-0400-00000150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xdr:twoCellAnchor>
    <xdr:from>
      <xdr:col>0</xdr:col>
      <xdr:colOff>179917</xdr:colOff>
      <xdr:row>35</xdr:row>
      <xdr:rowOff>141816</xdr:rowOff>
    </xdr:from>
    <xdr:to>
      <xdr:col>7</xdr:col>
      <xdr:colOff>433918</xdr:colOff>
      <xdr:row>47</xdr:row>
      <xdr:rowOff>158750</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95249</xdr:colOff>
      <xdr:row>35</xdr:row>
      <xdr:rowOff>116417</xdr:rowOff>
    </xdr:from>
    <xdr:to>
      <xdr:col>17</xdr:col>
      <xdr:colOff>306915</xdr:colOff>
      <xdr:row>47</xdr:row>
      <xdr:rowOff>105834</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158748</xdr:colOff>
      <xdr:row>49</xdr:row>
      <xdr:rowOff>0</xdr:rowOff>
    </xdr:from>
    <xdr:to>
      <xdr:col>7</xdr:col>
      <xdr:colOff>455083</xdr:colOff>
      <xdr:row>60</xdr:row>
      <xdr:rowOff>158749</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42335</xdr:colOff>
      <xdr:row>49</xdr:row>
      <xdr:rowOff>1</xdr:rowOff>
    </xdr:from>
    <xdr:to>
      <xdr:col>17</xdr:col>
      <xdr:colOff>277388</xdr:colOff>
      <xdr:row>60</xdr:row>
      <xdr:rowOff>127001</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13869</xdr:colOff>
      <xdr:row>69</xdr:row>
      <xdr:rowOff>80532</xdr:rowOff>
    </xdr:from>
    <xdr:to>
      <xdr:col>11</xdr:col>
      <xdr:colOff>88805</xdr:colOff>
      <xdr:row>90</xdr:row>
      <xdr:rowOff>121197</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0</xdr:colOff>
      <xdr:row>69</xdr:row>
      <xdr:rowOff>105830</xdr:rowOff>
    </xdr:from>
    <xdr:to>
      <xdr:col>22</xdr:col>
      <xdr:colOff>173713</xdr:colOff>
      <xdr:row>90</xdr:row>
      <xdr:rowOff>146495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ites.google.com/site/biasanalysis/" TargetMode="External"/><Relationship Id="rId1" Type="http://schemas.openxmlformats.org/officeDocument/2006/relationships/hyperlink" Target="mailto:mfox@bu.edu"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B2:AL26"/>
  <sheetViews>
    <sheetView topLeftCell="A2" zoomScale="110" zoomScaleNormal="110" workbookViewId="0">
      <selection activeCell="A2" sqref="A2"/>
    </sheetView>
  </sheetViews>
  <sheetFormatPr defaultColWidth="9.1796875" defaultRowHeight="12.5"/>
  <cols>
    <col min="1" max="1" width="2.81640625" style="2" customWidth="1"/>
    <col min="2" max="2" width="11.453125" style="2" customWidth="1"/>
    <col min="3" max="3" width="5" style="2" customWidth="1"/>
    <col min="4" max="4" width="9.1796875" style="2"/>
    <col min="5" max="5" width="5.81640625" style="2" customWidth="1"/>
    <col min="6" max="6" width="6.6328125" style="2" customWidth="1"/>
    <col min="7" max="7" width="3.453125" style="2" customWidth="1"/>
    <col min="8" max="8" width="4.1796875" style="2" customWidth="1"/>
    <col min="9" max="9" width="5.453125" style="2" customWidth="1"/>
    <col min="10" max="10" width="3.81640625" style="2" customWidth="1"/>
    <col min="11" max="11" width="3.453125" style="2" customWidth="1"/>
    <col min="12" max="13" width="3.81640625" style="2" customWidth="1"/>
    <col min="14" max="14" width="3.453125" style="2" customWidth="1"/>
    <col min="15" max="15" width="3" style="2" customWidth="1"/>
    <col min="16" max="16" width="2.81640625" style="2" customWidth="1"/>
    <col min="17" max="19" width="3.453125" style="2" customWidth="1"/>
    <col min="20" max="20" width="6.36328125" style="2" customWidth="1"/>
    <col min="21" max="21" width="7.1796875" style="2" customWidth="1"/>
    <col min="22" max="22" width="6.453125" style="2" customWidth="1"/>
    <col min="23" max="23" width="5.36328125" style="2" customWidth="1"/>
    <col min="24" max="24" width="6.36328125" style="2" customWidth="1"/>
    <col min="25" max="25" width="5.1796875" style="2" customWidth="1"/>
    <col min="26" max="31" width="9.1796875" style="2"/>
    <col min="32" max="32" width="9.36328125" style="2" customWidth="1"/>
    <col min="33" max="16384" width="9.1796875" style="2"/>
  </cols>
  <sheetData>
    <row r="2" spans="2:38" ht="13.5" thickBot="1">
      <c r="B2" s="77" t="s">
        <v>112</v>
      </c>
      <c r="C2" s="78"/>
      <c r="D2" s="78"/>
      <c r="E2" s="78"/>
      <c r="F2" s="78"/>
      <c r="G2" s="78"/>
      <c r="H2" s="78"/>
      <c r="I2" s="78"/>
      <c r="J2" s="78"/>
      <c r="K2" s="78"/>
      <c r="L2" s="78"/>
      <c r="M2" s="78"/>
      <c r="N2" s="78"/>
      <c r="O2" s="78"/>
      <c r="P2" s="78"/>
      <c r="Q2" s="78"/>
      <c r="R2" s="79" t="s">
        <v>108</v>
      </c>
      <c r="S2" s="1"/>
      <c r="T2" s="1"/>
    </row>
    <row r="3" spans="2:38" ht="13" thickTop="1">
      <c r="B3" s="254" t="s">
        <v>111</v>
      </c>
      <c r="C3" s="255"/>
      <c r="D3" s="255"/>
      <c r="E3" s="255"/>
      <c r="F3" s="255"/>
      <c r="G3" s="255"/>
      <c r="H3" s="255"/>
      <c r="I3" s="255"/>
      <c r="J3" s="255"/>
      <c r="K3" s="255"/>
      <c r="L3" s="255"/>
      <c r="M3" s="255"/>
      <c r="N3" s="255"/>
      <c r="O3" s="255"/>
      <c r="P3" s="255"/>
      <c r="Q3" s="255"/>
      <c r="R3" s="256"/>
    </row>
    <row r="4" spans="2:38">
      <c r="B4" s="257"/>
      <c r="C4" s="258"/>
      <c r="D4" s="258"/>
      <c r="E4" s="258"/>
      <c r="F4" s="258"/>
      <c r="G4" s="258"/>
      <c r="H4" s="258"/>
      <c r="I4" s="258"/>
      <c r="J4" s="258"/>
      <c r="K4" s="258"/>
      <c r="L4" s="258"/>
      <c r="M4" s="258"/>
      <c r="N4" s="258"/>
      <c r="O4" s="258"/>
      <c r="P4" s="258"/>
      <c r="Q4" s="258"/>
      <c r="R4" s="259"/>
      <c r="AL4" s="20" t="e">
        <f>IF(#REF!&lt;0,1,IF(#REF!&lt;0,1,IF(#REF!&lt;0,1,IF(#REF!&lt;0,1,0))))</f>
        <v>#REF!</v>
      </c>
    </row>
    <row r="5" spans="2:38" ht="7.25" customHeight="1">
      <c r="B5" s="257"/>
      <c r="C5" s="258"/>
      <c r="D5" s="258"/>
      <c r="E5" s="258"/>
      <c r="F5" s="258"/>
      <c r="G5" s="258"/>
      <c r="H5" s="258"/>
      <c r="I5" s="258"/>
      <c r="J5" s="258"/>
      <c r="K5" s="258"/>
      <c r="L5" s="258"/>
      <c r="M5" s="258"/>
      <c r="N5" s="258"/>
      <c r="O5" s="258"/>
      <c r="P5" s="258"/>
      <c r="Q5" s="258"/>
      <c r="R5" s="259"/>
      <c r="U5" s="82"/>
      <c r="AL5" s="20" t="e">
        <f>IF(#REF!&lt;0,1,IF(#REF!&lt;0,1,IF(#REF!&lt;0,1,IF(#REF!&lt;0,1,0))))</f>
        <v>#REF!</v>
      </c>
    </row>
    <row r="6" spans="2:38" ht="13">
      <c r="B6" s="83" t="s">
        <v>113</v>
      </c>
      <c r="C6" s="84"/>
      <c r="D6" s="80"/>
      <c r="E6" s="80"/>
      <c r="F6" s="80"/>
      <c r="G6" s="80"/>
      <c r="H6" s="80"/>
      <c r="I6" s="80"/>
      <c r="J6" s="80"/>
      <c r="K6" s="80"/>
      <c r="L6" s="80"/>
      <c r="M6" s="80"/>
      <c r="N6" s="80"/>
      <c r="O6" s="80"/>
      <c r="P6" s="80"/>
      <c r="Q6" s="80"/>
      <c r="R6" s="81"/>
      <c r="U6" s="82"/>
      <c r="AL6" s="20"/>
    </row>
    <row r="7" spans="2:38" ht="6.5" customHeight="1">
      <c r="B7" s="83"/>
      <c r="C7" s="84"/>
      <c r="D7" s="80"/>
      <c r="E7" s="80"/>
      <c r="F7" s="80"/>
      <c r="G7" s="80"/>
      <c r="H7" s="80"/>
      <c r="I7" s="80"/>
      <c r="J7" s="80"/>
      <c r="K7" s="80"/>
      <c r="L7" s="80"/>
      <c r="M7" s="80"/>
      <c r="N7" s="80"/>
      <c r="O7" s="80"/>
      <c r="P7" s="80"/>
      <c r="Q7" s="80"/>
      <c r="R7" s="81"/>
      <c r="U7" s="82"/>
      <c r="AL7" s="20"/>
    </row>
    <row r="8" spans="2:38" ht="13">
      <c r="B8" s="83"/>
      <c r="C8" s="264" t="s">
        <v>83</v>
      </c>
      <c r="D8" s="264"/>
      <c r="E8" s="264"/>
      <c r="F8" s="264"/>
      <c r="G8" s="264"/>
      <c r="H8" s="264"/>
      <c r="I8" s="264"/>
      <c r="J8" s="264"/>
      <c r="K8" s="85"/>
      <c r="L8" s="85"/>
      <c r="M8" s="85"/>
      <c r="N8" s="85"/>
      <c r="O8" s="85"/>
      <c r="P8" s="85"/>
      <c r="Q8" s="85"/>
      <c r="R8" s="86"/>
    </row>
    <row r="9" spans="2:38">
      <c r="B9" s="87"/>
      <c r="C9" s="264" t="s">
        <v>84</v>
      </c>
      <c r="D9" s="264"/>
      <c r="E9" s="264"/>
      <c r="F9" s="264"/>
      <c r="G9" s="264"/>
      <c r="H9" s="264"/>
      <c r="I9" s="264"/>
      <c r="J9" s="264"/>
      <c r="K9" s="85"/>
      <c r="L9" s="85"/>
      <c r="M9" s="85"/>
      <c r="N9" s="85"/>
      <c r="O9" s="85"/>
      <c r="P9" s="85"/>
      <c r="Q9" s="85"/>
      <c r="R9" s="86"/>
    </row>
    <row r="10" spans="2:38">
      <c r="B10" s="88"/>
      <c r="C10" s="264" t="s">
        <v>107</v>
      </c>
      <c r="D10" s="264"/>
      <c r="E10" s="264"/>
      <c r="F10" s="264"/>
      <c r="G10" s="264"/>
      <c r="H10" s="264"/>
      <c r="I10" s="264"/>
      <c r="J10" s="264"/>
      <c r="K10" s="85"/>
      <c r="L10" s="85"/>
      <c r="M10" s="85"/>
      <c r="N10" s="85"/>
      <c r="O10" s="85"/>
      <c r="P10" s="85"/>
      <c r="Q10" s="85"/>
      <c r="R10" s="86"/>
    </row>
    <row r="11" spans="2:38" ht="13">
      <c r="B11" s="83"/>
      <c r="C11" s="264" t="s">
        <v>85</v>
      </c>
      <c r="D11" s="264"/>
      <c r="E11" s="264"/>
      <c r="F11" s="264"/>
      <c r="G11" s="264"/>
      <c r="H11" s="264"/>
      <c r="I11" s="264"/>
      <c r="J11" s="264"/>
      <c r="K11" s="85"/>
      <c r="L11" s="85"/>
      <c r="M11" s="85"/>
      <c r="N11" s="85"/>
      <c r="O11" s="85"/>
      <c r="P11" s="85"/>
      <c r="Q11" s="85"/>
      <c r="R11" s="86"/>
    </row>
    <row r="12" spans="2:38" ht="7.5" customHeight="1" thickBot="1">
      <c r="B12" s="89"/>
      <c r="C12" s="90"/>
      <c r="D12" s="90"/>
      <c r="E12" s="91"/>
      <c r="F12" s="90"/>
      <c r="G12" s="91"/>
      <c r="H12" s="91"/>
      <c r="I12" s="91"/>
      <c r="J12" s="91"/>
      <c r="K12" s="91"/>
      <c r="L12" s="91"/>
      <c r="M12" s="91"/>
      <c r="N12" s="91"/>
      <c r="O12" s="91"/>
      <c r="P12" s="91"/>
      <c r="Q12" s="91"/>
      <c r="R12" s="92"/>
    </row>
    <row r="13" spans="2:38" ht="6" customHeight="1" thickBot="1"/>
    <row r="14" spans="2:38" ht="13.5" thickBot="1">
      <c r="B14" s="77" t="s">
        <v>86</v>
      </c>
      <c r="C14" s="78"/>
      <c r="D14" s="93"/>
      <c r="E14" s="93"/>
      <c r="F14" s="93"/>
      <c r="G14" s="93"/>
      <c r="H14" s="93"/>
      <c r="I14" s="93"/>
      <c r="J14" s="93"/>
      <c r="K14" s="93"/>
      <c r="L14" s="93"/>
      <c r="M14" s="93"/>
      <c r="N14" s="93"/>
      <c r="O14" s="93"/>
      <c r="P14" s="93"/>
      <c r="Q14" s="93"/>
      <c r="R14" s="94"/>
    </row>
    <row r="15" spans="2:38" ht="13" thickTop="1">
      <c r="B15" s="95" t="s">
        <v>87</v>
      </c>
      <c r="C15" s="96"/>
      <c r="D15" s="96"/>
      <c r="E15" s="96"/>
      <c r="F15" s="97"/>
      <c r="G15" s="97"/>
      <c r="H15" s="97"/>
      <c r="I15" s="97"/>
      <c r="J15" s="97"/>
      <c r="K15" s="97"/>
      <c r="L15" s="97"/>
      <c r="M15" s="97"/>
      <c r="N15" s="97"/>
      <c r="O15" s="97"/>
      <c r="P15" s="97"/>
      <c r="Q15" s="97"/>
      <c r="R15" s="98"/>
    </row>
    <row r="16" spans="2:38">
      <c r="B16" s="140" t="s">
        <v>142</v>
      </c>
      <c r="C16" s="141" t="s">
        <v>143</v>
      </c>
      <c r="D16" s="97"/>
      <c r="E16" s="97"/>
      <c r="F16" s="97"/>
      <c r="G16" s="97"/>
      <c r="H16" s="97"/>
      <c r="I16" s="97"/>
      <c r="J16" s="97"/>
      <c r="K16" s="97"/>
      <c r="L16" s="97"/>
      <c r="M16" s="97"/>
      <c r="N16" s="97"/>
      <c r="O16" s="97"/>
      <c r="P16" s="97"/>
      <c r="Q16" s="97"/>
      <c r="R16" s="98"/>
    </row>
    <row r="17" spans="2:18">
      <c r="B17" s="95" t="s">
        <v>88</v>
      </c>
      <c r="C17" s="96"/>
      <c r="D17" s="96"/>
      <c r="E17" s="96"/>
      <c r="F17" s="97"/>
      <c r="G17" s="97"/>
      <c r="H17" s="97"/>
      <c r="I17" s="97"/>
      <c r="J17" s="97"/>
      <c r="K17" s="97"/>
      <c r="L17" s="97"/>
      <c r="M17" s="97"/>
      <c r="N17" s="97"/>
      <c r="O17" s="97"/>
      <c r="P17" s="97"/>
      <c r="Q17" s="97"/>
      <c r="R17" s="98"/>
    </row>
    <row r="18" spans="2:18">
      <c r="B18" s="95"/>
      <c r="C18" s="96"/>
      <c r="D18" s="96"/>
      <c r="E18" s="96"/>
      <c r="F18" s="97"/>
      <c r="G18" s="97"/>
      <c r="H18" s="97"/>
      <c r="I18" s="97"/>
      <c r="J18" s="97"/>
      <c r="K18" s="97"/>
      <c r="L18" s="97"/>
      <c r="M18" s="97"/>
      <c r="N18" s="97"/>
      <c r="O18" s="97"/>
      <c r="P18" s="97"/>
      <c r="Q18" s="97"/>
      <c r="R18" s="98"/>
    </row>
    <row r="19" spans="2:18">
      <c r="B19" s="99"/>
      <c r="C19" s="265" t="s">
        <v>166</v>
      </c>
      <c r="D19" s="265"/>
      <c r="E19" s="265"/>
      <c r="F19" s="265"/>
      <c r="G19" s="265"/>
      <c r="H19" s="265"/>
      <c r="I19" s="265"/>
      <c r="J19" s="265"/>
      <c r="K19" s="265"/>
      <c r="L19" s="265"/>
      <c r="M19" s="265"/>
      <c r="N19" s="265"/>
      <c r="O19" s="265"/>
      <c r="P19" s="265"/>
      <c r="Q19" s="265"/>
      <c r="R19" s="98"/>
    </row>
    <row r="20" spans="2:18">
      <c r="B20" s="95"/>
      <c r="C20" s="265"/>
      <c r="D20" s="265"/>
      <c r="E20" s="265"/>
      <c r="F20" s="265"/>
      <c r="G20" s="265"/>
      <c r="H20" s="265"/>
      <c r="I20" s="265"/>
      <c r="J20" s="265"/>
      <c r="K20" s="265"/>
      <c r="L20" s="265"/>
      <c r="M20" s="265"/>
      <c r="N20" s="265"/>
      <c r="O20" s="265"/>
      <c r="P20" s="265"/>
      <c r="Q20" s="265"/>
      <c r="R20" s="98"/>
    </row>
    <row r="21" spans="2:18">
      <c r="B21" s="95" t="s">
        <v>89</v>
      </c>
      <c r="C21" s="96"/>
      <c r="D21" s="96"/>
      <c r="E21" s="96"/>
      <c r="F21" s="97"/>
      <c r="G21" s="97"/>
      <c r="H21" s="97"/>
      <c r="I21" s="97"/>
      <c r="J21" s="97"/>
      <c r="K21" s="97"/>
      <c r="L21" s="97"/>
      <c r="M21" s="97"/>
      <c r="N21" s="97"/>
      <c r="O21" s="97"/>
      <c r="P21" s="97"/>
      <c r="Q21" s="97"/>
      <c r="R21" s="98"/>
    </row>
    <row r="22" spans="2:18" ht="13">
      <c r="B22" s="95" t="s">
        <v>90</v>
      </c>
      <c r="C22" s="96"/>
      <c r="D22" s="96"/>
      <c r="E22" s="97"/>
      <c r="F22" s="97"/>
      <c r="G22" s="97"/>
      <c r="H22" s="97"/>
      <c r="I22" s="100" t="s">
        <v>91</v>
      </c>
      <c r="J22" s="97"/>
      <c r="K22" s="97"/>
      <c r="L22" s="97"/>
      <c r="M22" s="97"/>
      <c r="N22" s="97"/>
      <c r="O22" s="97"/>
      <c r="P22" s="97"/>
      <c r="Q22" s="97"/>
      <c r="R22" s="98"/>
    </row>
    <row r="23" spans="2:18" ht="9" customHeight="1">
      <c r="B23" s="101"/>
      <c r="C23" s="102"/>
      <c r="D23" s="102"/>
      <c r="E23" s="102"/>
      <c r="F23" s="97"/>
      <c r="G23" s="97"/>
      <c r="H23" s="97"/>
      <c r="I23" s="97"/>
      <c r="J23" s="97"/>
      <c r="K23" s="97"/>
      <c r="L23" s="97"/>
      <c r="M23" s="97"/>
      <c r="N23" s="97"/>
      <c r="O23" s="97"/>
      <c r="P23" s="97"/>
      <c r="Q23" s="97"/>
      <c r="R23" s="98"/>
    </row>
    <row r="24" spans="2:18" ht="9" customHeight="1">
      <c r="B24" s="101"/>
      <c r="C24" s="102"/>
      <c r="D24" s="102"/>
      <c r="E24" s="102"/>
      <c r="F24" s="97"/>
      <c r="G24" s="97"/>
      <c r="H24" s="97"/>
      <c r="I24" s="97"/>
      <c r="J24" s="97"/>
      <c r="K24" s="97"/>
      <c r="L24" s="97"/>
      <c r="M24" s="97"/>
      <c r="N24" s="97"/>
      <c r="O24" s="97"/>
      <c r="P24" s="97"/>
      <c r="Q24" s="97"/>
      <c r="R24" s="98"/>
    </row>
    <row r="25" spans="2:18">
      <c r="B25" s="95" t="s">
        <v>92</v>
      </c>
      <c r="C25" s="96"/>
      <c r="D25" s="96"/>
      <c r="E25" s="96"/>
      <c r="F25" s="96"/>
      <c r="G25" s="97"/>
      <c r="H25" s="97"/>
      <c r="I25" s="97"/>
      <c r="J25" s="97"/>
      <c r="K25" s="97"/>
      <c r="L25" s="97"/>
      <c r="M25" s="97"/>
      <c r="N25" s="97"/>
      <c r="O25" s="97"/>
      <c r="P25" s="97"/>
      <c r="Q25" s="97"/>
      <c r="R25" s="98"/>
    </row>
    <row r="26" spans="2:18" ht="13.5" thickBot="1">
      <c r="B26" s="260" t="s">
        <v>98</v>
      </c>
      <c r="C26" s="261"/>
      <c r="D26" s="262"/>
      <c r="E26" s="262"/>
      <c r="F26" s="262"/>
      <c r="G26" s="262"/>
      <c r="H26" s="262"/>
      <c r="I26" s="262"/>
      <c r="J26" s="262"/>
      <c r="K26" s="262"/>
      <c r="L26" s="262"/>
      <c r="M26" s="262"/>
      <c r="N26" s="262"/>
      <c r="O26" s="262"/>
      <c r="P26" s="262"/>
      <c r="Q26" s="262"/>
      <c r="R26" s="263"/>
    </row>
  </sheetData>
  <mergeCells count="7">
    <mergeCell ref="B3:R5"/>
    <mergeCell ref="B26:R26"/>
    <mergeCell ref="C8:J8"/>
    <mergeCell ref="C9:J9"/>
    <mergeCell ref="C10:J10"/>
    <mergeCell ref="C11:J11"/>
    <mergeCell ref="C19:Q20"/>
  </mergeCells>
  <phoneticPr fontId="3" type="noConversion"/>
  <hyperlinks>
    <hyperlink ref="I22" r:id="rId1" xr:uid="{00000000-0004-0000-0000-000000000000}"/>
    <hyperlink ref="B26" r:id="rId2" xr:uid="{00000000-0004-0000-0000-000001000000}"/>
    <hyperlink ref="C8" location="'Exp Misc'!A1" display="Exposure Misclassification" xr:uid="{00000000-0004-0000-0000-000002000000}"/>
    <hyperlink ref="C9" location="'Dis Misc'!A1" display="Outcome Misclassification" xr:uid="{00000000-0004-0000-0000-000003000000}"/>
    <hyperlink ref="C10" location="'Unmeas Conf'!A1" display="Unmeasured Confounder" xr:uid="{00000000-0004-0000-0000-000004000000}"/>
    <hyperlink ref="C11" location="'Sel Bias'!A1" display="Selection Bias" xr:uid="{00000000-0004-0000-0000-000005000000}"/>
  </hyperlinks>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1:BC1022"/>
  <sheetViews>
    <sheetView zoomScale="87" zoomScaleNormal="87" workbookViewId="0">
      <selection activeCell="E28" sqref="E28"/>
    </sheetView>
  </sheetViews>
  <sheetFormatPr defaultColWidth="9.1796875" defaultRowHeight="12.5"/>
  <cols>
    <col min="1" max="1" width="2.81640625" style="2" customWidth="1"/>
    <col min="2" max="2" width="13.81640625" style="2" customWidth="1"/>
    <col min="3" max="3" width="8" style="2" customWidth="1"/>
    <col min="4" max="4" width="5.1796875" style="2" customWidth="1"/>
    <col min="5" max="5" width="7.453125" style="2" customWidth="1"/>
    <col min="6" max="6" width="2.36328125" style="2" customWidth="1"/>
    <col min="7" max="7" width="7" style="2" customWidth="1"/>
    <col min="8" max="8" width="2.6328125" style="2" customWidth="1"/>
    <col min="9" max="9" width="8.81640625" style="2" customWidth="1"/>
    <col min="10" max="10" width="10.36328125" style="2" customWidth="1"/>
    <col min="11" max="11" width="5" style="2" customWidth="1"/>
    <col min="12" max="12" width="10.36328125" style="2" customWidth="1"/>
    <col min="13" max="13" width="4.453125" style="2" customWidth="1"/>
    <col min="14" max="14" width="8.36328125" style="2" customWidth="1"/>
    <col min="15" max="15" width="6.453125" style="2" customWidth="1"/>
    <col min="16" max="16" width="15.81640625" style="2" customWidth="1"/>
    <col min="17" max="17" width="2.453125" style="2" customWidth="1"/>
    <col min="18" max="18" width="2.36328125" style="2" customWidth="1"/>
    <col min="19" max="19" width="6.36328125" style="50" customWidth="1"/>
    <col min="20" max="20" width="7.1796875" style="50" customWidth="1"/>
    <col min="21" max="21" width="6.36328125" style="50" customWidth="1"/>
    <col min="22" max="22" width="8.08984375" style="50" customWidth="1"/>
    <col min="23" max="23" width="6.81640625" style="50" bestFit="1" customWidth="1"/>
    <col min="24" max="24" width="6.36328125" style="50" bestFit="1" customWidth="1"/>
    <col min="25" max="25" width="6.81640625" style="50" bestFit="1" customWidth="1"/>
    <col min="26" max="26" width="7.36328125" style="50" customWidth="1"/>
    <col min="27" max="27" width="3.453125" style="2" customWidth="1"/>
    <col min="28" max="28" width="10.453125" style="2" customWidth="1"/>
    <col min="29" max="29" width="6.453125" style="2" customWidth="1"/>
    <col min="30" max="30" width="8.453125" style="2" customWidth="1"/>
    <col min="31" max="31" width="8" style="20" customWidth="1"/>
    <col min="32" max="32" width="7.6328125" style="20" customWidth="1"/>
    <col min="33" max="33" width="11" style="2" customWidth="1"/>
    <col min="34" max="34" width="9.1796875" style="2"/>
    <col min="35" max="35" width="14" style="53" bestFit="1" customWidth="1"/>
    <col min="36" max="36" width="7" style="50" bestFit="1" customWidth="1"/>
    <col min="37" max="37" width="6.453125" style="2" bestFit="1" customWidth="1"/>
    <col min="38" max="38" width="7" style="2" bestFit="1" customWidth="1"/>
    <col min="39" max="39" width="6.453125" style="2" bestFit="1" customWidth="1"/>
    <col min="40" max="40" width="7" style="2" bestFit="1" customWidth="1"/>
    <col min="41" max="41" width="6.453125" style="2" bestFit="1" customWidth="1"/>
    <col min="42" max="42" width="7" style="2" bestFit="1" customWidth="1"/>
    <col min="43" max="43" width="6.453125" style="2" bestFit="1" customWidth="1"/>
    <col min="44" max="49" width="9.1796875" style="2"/>
    <col min="50" max="50" width="0" style="2" hidden="1" customWidth="1"/>
    <col min="51" max="51" width="12.81640625" style="2" hidden="1" customWidth="1"/>
    <col min="52" max="52" width="14.6328125" style="2" customWidth="1"/>
    <col min="53" max="54" width="9.1796875" style="2" customWidth="1"/>
    <col min="55" max="55" width="23.08984375" style="2" customWidth="1"/>
    <col min="56" max="16384" width="9.1796875" style="2"/>
  </cols>
  <sheetData>
    <row r="1" spans="2:55" ht="6" customHeight="1">
      <c r="AC1" s="269"/>
      <c r="AD1" s="269"/>
      <c r="AE1" s="269"/>
      <c r="AF1" s="269"/>
      <c r="AG1" s="269"/>
    </row>
    <row r="2" spans="2:55" ht="15.5" customHeight="1" thickBot="1">
      <c r="B2" s="72" t="s">
        <v>75</v>
      </c>
      <c r="C2" s="72"/>
      <c r="D2" s="72"/>
      <c r="E2" s="72"/>
      <c r="F2" s="72"/>
      <c r="G2" s="72"/>
      <c r="H2" s="72"/>
      <c r="I2" s="72"/>
      <c r="J2" s="72"/>
      <c r="K2" s="72"/>
      <c r="L2" s="72"/>
      <c r="M2" s="72"/>
      <c r="N2" s="270" t="s">
        <v>74</v>
      </c>
      <c r="O2" s="270"/>
      <c r="P2" s="270"/>
      <c r="Q2" s="1"/>
      <c r="R2" s="1"/>
      <c r="S2" s="271" t="s">
        <v>95</v>
      </c>
      <c r="T2" s="271"/>
      <c r="U2" s="271"/>
      <c r="V2" s="271"/>
      <c r="W2" s="271"/>
      <c r="X2" s="271"/>
      <c r="Y2" s="271"/>
      <c r="Z2" s="271"/>
      <c r="AA2" s="271"/>
      <c r="AB2" s="110"/>
      <c r="AC2" s="51" t="s">
        <v>41</v>
      </c>
      <c r="AD2" s="51" t="s">
        <v>102</v>
      </c>
      <c r="AE2" s="51" t="s">
        <v>103</v>
      </c>
      <c r="AF2" s="51" t="s">
        <v>43</v>
      </c>
      <c r="AG2" s="51" t="s">
        <v>45</v>
      </c>
      <c r="AI2" s="271" t="s">
        <v>55</v>
      </c>
      <c r="AJ2" s="271"/>
      <c r="AK2" s="271"/>
      <c r="AL2" s="271"/>
      <c r="AM2" s="271"/>
      <c r="AN2" s="50"/>
      <c r="AT2" s="252" t="s">
        <v>191</v>
      </c>
      <c r="AU2" s="252" t="s">
        <v>192</v>
      </c>
      <c r="AV2" s="252" t="s">
        <v>193</v>
      </c>
      <c r="AW2" s="252" t="s">
        <v>194</v>
      </c>
      <c r="AX2" s="252" t="s">
        <v>195</v>
      </c>
      <c r="AY2" s="252" t="s">
        <v>196</v>
      </c>
      <c r="AZ2" s="252" t="s">
        <v>197</v>
      </c>
      <c r="BA2" s="252"/>
      <c r="BB2" s="252"/>
      <c r="BC2" s="252" t="s">
        <v>198</v>
      </c>
    </row>
    <row r="3" spans="2:55" ht="13.5" thickTop="1">
      <c r="B3" s="19"/>
      <c r="S3" s="50" t="s">
        <v>137</v>
      </c>
      <c r="V3" s="53">
        <f ca="1">IFERROR((J18/J22)/(L18/L22),"")</f>
        <v>0.93395764762664479</v>
      </c>
      <c r="W3" s="50" t="s">
        <v>138</v>
      </c>
      <c r="Z3" s="53">
        <f ca="1">IFERROR((J18/J20)/(L18/L20),"")</f>
        <v>0.91344760030572703</v>
      </c>
      <c r="AA3" s="50"/>
      <c r="AB3" s="50" t="str">
        <f>B8</f>
        <v>Se (BC+)</v>
      </c>
      <c r="AC3" s="52">
        <f ca="1">IF(E$12=1,RAND(),V11)</f>
        <v>0.68434299185507375</v>
      </c>
      <c r="AD3" s="121">
        <f>C8</f>
        <v>50.6</v>
      </c>
      <c r="AE3" s="121">
        <f>E8</f>
        <v>14.3</v>
      </c>
      <c r="AF3" s="53">
        <f ca="1">BETAINV(AC3,AD3,AE3)</f>
        <v>0.80650218589023326</v>
      </c>
      <c r="AG3" s="60">
        <f ca="1">AF3</f>
        <v>0.80650218589023326</v>
      </c>
      <c r="AI3" s="51" t="s">
        <v>54</v>
      </c>
      <c r="AJ3" s="51" t="str">
        <f>W21</f>
        <v>Se(D+)</v>
      </c>
      <c r="AK3" s="51" t="str">
        <f>X21</f>
        <v>Se(D-)</v>
      </c>
      <c r="AL3" s="51" t="str">
        <f>Y21</f>
        <v>Sp(D+)</v>
      </c>
      <c r="AM3" s="51" t="str">
        <f>Z21</f>
        <v>Sp(D-)</v>
      </c>
      <c r="AN3" s="51" t="str">
        <f>AJ3</f>
        <v>Se(D+)</v>
      </c>
      <c r="AO3" s="51" t="str">
        <f>AK3</f>
        <v>Se(D-)</v>
      </c>
      <c r="AP3" s="51" t="str">
        <f>AL3</f>
        <v>Sp(D+)</v>
      </c>
      <c r="AQ3" s="51" t="str">
        <f>AM3</f>
        <v>Sp(D-)</v>
      </c>
      <c r="AS3" s="20" t="s">
        <v>202</v>
      </c>
      <c r="AT3" s="251" t="s">
        <v>199</v>
      </c>
      <c r="AU3" s="251">
        <f>IF((C18/C22)/(E18/E22)&gt;0,(C18/C22)/(E18/E22),"")</f>
        <v>0.96538246004000106</v>
      </c>
      <c r="AV3" s="251">
        <f>IF(AU3&lt;&gt;"",AU3-EXP(LN((C18/C22)/(E18/E22))-1.96*V4),"")</f>
        <v>0.11300782936665954</v>
      </c>
      <c r="AW3" s="251">
        <f>IF(AU3&lt;&gt;"",EXP(LN((C18/C22)/(E18/E22))+1.96*V4)-AU3,"")</f>
        <v>0.12799040749439616</v>
      </c>
      <c r="AX3" s="251"/>
      <c r="AY3" s="251"/>
      <c r="AZ3" s="251">
        <v>2.5</v>
      </c>
      <c r="BA3" s="251"/>
      <c r="BB3" s="251"/>
      <c r="BC3" s="251">
        <f>MIN($F$3:$F$17)</f>
        <v>0</v>
      </c>
    </row>
    <row r="4" spans="2:55">
      <c r="S4" s="50" t="s">
        <v>3</v>
      </c>
      <c r="V4" s="50">
        <f>IFERROR(SQRT(1/C18-1/C22+1/E18-1/E22),"")</f>
        <v>6.3519498427844295E-2</v>
      </c>
      <c r="W4" s="50" t="s">
        <v>2</v>
      </c>
      <c r="Z4" s="50">
        <f>IFERROR(SQRT(1/C18+1/C20+1/E18+1/E20),"")</f>
        <v>8.4089681755556769E-2</v>
      </c>
      <c r="AA4" s="50"/>
      <c r="AB4" s="50" t="str">
        <f>B9</f>
        <v>Se (BC-)</v>
      </c>
      <c r="AC4" s="52">
        <f ca="1">IF(E$12=1,RAND(),V12)</f>
        <v>0.30777934772655247</v>
      </c>
      <c r="AD4" s="121">
        <f>C9</f>
        <v>50.6</v>
      </c>
      <c r="AE4" s="121">
        <f>E9</f>
        <v>14.3</v>
      </c>
      <c r="AF4" s="53">
        <f ca="1">BETAINV(AC4,AD4,AE4)</f>
        <v>0.75603759812326643</v>
      </c>
      <c r="AG4" s="60">
        <f ca="1">IF(E$12=1,AF3,AF4)</f>
        <v>0.80650218589023326</v>
      </c>
      <c r="AI4" s="53">
        <v>0</v>
      </c>
      <c r="AJ4" s="50">
        <f t="array" aca="1" ref="AJ4:AJ54" ca="1">FREQUENCY(W22:W50022,AI4:AI54)</f>
        <v>0</v>
      </c>
      <c r="AK4" s="50">
        <f t="array" aca="1" ref="AK4:AK54" ca="1">FREQUENCY(X22:X50023,AI4:AI54)</f>
        <v>0</v>
      </c>
      <c r="AL4" s="50">
        <f t="array" aca="1" ref="AL4:AL54" ca="1">FREQUENCY(Y22:Y50022,AI4:AI54)</f>
        <v>0</v>
      </c>
      <c r="AM4" s="50">
        <f t="array" aca="1" ref="AM4:AM54" ca="1">FREQUENCY(Z22:Z50023,AI4:AI54)</f>
        <v>0</v>
      </c>
      <c r="AN4" s="111">
        <f t="shared" ref="AN4:AQ35" ca="1" si="0">AJ4/AJ$55</f>
        <v>0</v>
      </c>
      <c r="AO4" s="111">
        <f t="shared" ca="1" si="0"/>
        <v>0</v>
      </c>
      <c r="AP4" s="111">
        <f t="shared" ca="1" si="0"/>
        <v>0</v>
      </c>
      <c r="AQ4" s="111">
        <f t="shared" ca="1" si="0"/>
        <v>0</v>
      </c>
      <c r="AS4" s="20" t="s">
        <v>203</v>
      </c>
      <c r="AT4" s="251" t="s">
        <v>200</v>
      </c>
      <c r="AU4" s="251">
        <f>IF(S23&lt;&gt;"",PERCENTILE(S23:S50014,0.5),"")</f>
        <v>0.96107182082202613</v>
      </c>
      <c r="AV4" s="251">
        <f>IF(S23&lt;&gt;"",AU4-PERCENTILE(S23:S50014,0.025),"")</f>
        <v>1.4638634778805004E-2</v>
      </c>
      <c r="AW4" s="251">
        <f>IF(S23&lt;&gt;"",PERCENTILE(S23:S50014,0.975)-AU4,"")</f>
        <v>3.0428476373320912E-3</v>
      </c>
      <c r="AX4" s="251"/>
      <c r="AY4" s="251"/>
      <c r="AZ4" s="251">
        <v>1.5</v>
      </c>
      <c r="BA4" s="251"/>
      <c r="BB4" s="251"/>
      <c r="BC4" s="251">
        <f>MIN($F$3:$F$17)</f>
        <v>0</v>
      </c>
    </row>
    <row r="5" spans="2:55">
      <c r="S5" s="50" t="s">
        <v>139</v>
      </c>
      <c r="V5" s="50">
        <f ca="1">IFERROR(SQRT(1/J18-1/J22+1/L18-1/L22),"")</f>
        <v>5.9832346692652048E-2</v>
      </c>
      <c r="W5" s="50" t="s">
        <v>140</v>
      </c>
      <c r="Z5" s="50">
        <f ca="1">IFERROR(SQRT(1/J18+1/L18+1/J20+1/L20),"")</f>
        <v>7.8675866804168507E-2</v>
      </c>
      <c r="AA5" s="50"/>
      <c r="AB5" s="50" t="str">
        <f>B10</f>
        <v>Sp (BC+)</v>
      </c>
      <c r="AC5" s="52">
        <f ca="1">IF(E$12=1,RAND(),Z11)</f>
        <v>0.76841493488898938</v>
      </c>
      <c r="AD5" s="121">
        <f>C10</f>
        <v>70</v>
      </c>
      <c r="AE5" s="121">
        <f>E10</f>
        <v>1</v>
      </c>
      <c r="AF5" s="53">
        <f ca="1">BETAINV(AC5,AD5,AE5)</f>
        <v>0.99624385186860698</v>
      </c>
      <c r="AG5" s="60">
        <f ca="1">AF5</f>
        <v>0.99624385186860698</v>
      </c>
      <c r="AI5" s="53">
        <f>AI4+0.02</f>
        <v>0.02</v>
      </c>
      <c r="AJ5" s="50">
        <f ca="1"/>
        <v>0</v>
      </c>
      <c r="AK5" s="50">
        <f ca="1"/>
        <v>0</v>
      </c>
      <c r="AL5" s="50">
        <f ca="1"/>
        <v>0</v>
      </c>
      <c r="AM5" s="50">
        <f ca="1"/>
        <v>0</v>
      </c>
      <c r="AN5" s="111">
        <f t="shared" ca="1" si="0"/>
        <v>0</v>
      </c>
      <c r="AO5" s="111">
        <f t="shared" ca="1" si="0"/>
        <v>0</v>
      </c>
      <c r="AP5" s="111">
        <f t="shared" ca="1" si="0"/>
        <v>0</v>
      </c>
      <c r="AQ5" s="111">
        <f t="shared" ca="1" si="0"/>
        <v>0</v>
      </c>
      <c r="AT5" s="251" t="s">
        <v>67</v>
      </c>
      <c r="AU5" s="251">
        <f>IF(U23&lt;&gt;"",PERCENTILE(U23:U50014,0.5),"")</f>
        <v>0.96060438485007449</v>
      </c>
      <c r="AV5" s="251">
        <f>IF(U23&lt;&gt;"",AU5-PERCENTILE(U23:U50014,0.025),"")</f>
        <v>0.13762009710757772</v>
      </c>
      <c r="AW5" s="251">
        <f>IF(U23&lt;&gt;"",PERCENTILE(U23:U50014,0.975)-AU5,"")</f>
        <v>0.13979049665552057</v>
      </c>
      <c r="AX5" s="251"/>
      <c r="AY5" s="251"/>
      <c r="AZ5" s="251">
        <v>0.5</v>
      </c>
      <c r="BA5" s="251"/>
      <c r="BB5" s="251"/>
      <c r="BC5" s="251">
        <f>MIN($F$3:$F$17)</f>
        <v>0</v>
      </c>
    </row>
    <row r="6" spans="2:55" ht="12.75" customHeight="1">
      <c r="B6" s="272" t="s">
        <v>7</v>
      </c>
      <c r="C6" s="272"/>
      <c r="D6" s="272"/>
      <c r="E6" s="272"/>
      <c r="F6" s="272"/>
      <c r="G6" s="272"/>
      <c r="H6" s="21"/>
      <c r="I6" s="21"/>
      <c r="K6" s="273" t="s">
        <v>5</v>
      </c>
      <c r="L6" s="273"/>
      <c r="M6" s="273"/>
      <c r="N6" s="273"/>
      <c r="O6" s="273"/>
      <c r="P6" s="273"/>
      <c r="Q6" s="1"/>
      <c r="R6" s="1"/>
      <c r="S6" s="50" t="s">
        <v>144</v>
      </c>
      <c r="V6" s="74">
        <f ca="1">IFERROR(EXP(LN(V3)-V5*NORMINV(RAND(),0,1)),"")</f>
        <v>0.92416008751421441</v>
      </c>
      <c r="W6" s="50" t="s">
        <v>94</v>
      </c>
      <c r="Z6" s="50">
        <f ca="1">IFERROR(EXP(LN(Z3)-Z5*NORMINV(RAND(),0,1)),"")</f>
        <v>0.96504466601310612</v>
      </c>
      <c r="AB6" s="50" t="str">
        <f>B11</f>
        <v>Sp (BC-)</v>
      </c>
      <c r="AC6" s="52">
        <f ca="1">IF(E$12=1,RAND(),Z12)</f>
        <v>0.25963183420812119</v>
      </c>
      <c r="AD6" s="121">
        <f>C11</f>
        <v>70</v>
      </c>
      <c r="AE6" s="121">
        <f>E11</f>
        <v>1</v>
      </c>
      <c r="AF6" s="53">
        <f ca="1">BETAINV(AC6,AD6,AE6)</f>
        <v>0.9809202155074751</v>
      </c>
      <c r="AG6" s="60">
        <f ca="1" xml:space="preserve"> IF(E$12=1,AF5,AF6)</f>
        <v>0.99624385186860698</v>
      </c>
      <c r="AI6" s="53">
        <f t="shared" ref="AI6:AI53" si="1">AI5+0.02</f>
        <v>0.04</v>
      </c>
      <c r="AJ6" s="50">
        <f ca="1"/>
        <v>0</v>
      </c>
      <c r="AK6" s="50">
        <f ca="1"/>
        <v>0</v>
      </c>
      <c r="AL6" s="50">
        <f ca="1"/>
        <v>0</v>
      </c>
      <c r="AM6" s="50">
        <f ca="1"/>
        <v>0</v>
      </c>
      <c r="AN6" s="111">
        <f t="shared" ca="1" si="0"/>
        <v>0</v>
      </c>
      <c r="AO6" s="111">
        <f t="shared" ca="1" si="0"/>
        <v>0</v>
      </c>
      <c r="AP6" s="111">
        <f t="shared" ca="1" si="0"/>
        <v>0</v>
      </c>
      <c r="AQ6" s="111">
        <f t="shared" ca="1" si="0"/>
        <v>0</v>
      </c>
    </row>
    <row r="7" spans="2:55" ht="15.75" customHeight="1">
      <c r="C7" s="9" t="s">
        <v>104</v>
      </c>
      <c r="D7" s="61"/>
      <c r="E7" s="9" t="s">
        <v>101</v>
      </c>
      <c r="F7" s="1"/>
      <c r="G7" s="113" t="s">
        <v>105</v>
      </c>
      <c r="H7" s="119"/>
      <c r="I7" s="120"/>
      <c r="K7" s="274"/>
      <c r="L7" s="274"/>
      <c r="M7" s="274"/>
      <c r="N7" s="274"/>
      <c r="O7" s="274"/>
      <c r="P7" s="274"/>
      <c r="Q7" s="22"/>
      <c r="R7" s="22"/>
      <c r="S7" s="50" t="s">
        <v>136</v>
      </c>
      <c r="V7" s="50" t="b">
        <f ca="1">OR(AF18&lt;=0,AF19&lt;=0,AF20&lt;=0,AF21&lt;=0)</f>
        <v>0</v>
      </c>
      <c r="AB7" s="131"/>
      <c r="AI7" s="53">
        <f t="shared" si="1"/>
        <v>0.06</v>
      </c>
      <c r="AJ7" s="50">
        <f ca="1"/>
        <v>0</v>
      </c>
      <c r="AK7" s="50">
        <f ca="1"/>
        <v>0</v>
      </c>
      <c r="AL7" s="50">
        <f ca="1"/>
        <v>0</v>
      </c>
      <c r="AM7" s="50">
        <f ca="1"/>
        <v>0</v>
      </c>
      <c r="AN7" s="111">
        <f t="shared" ca="1" si="0"/>
        <v>0</v>
      </c>
      <c r="AO7" s="111">
        <f t="shared" ca="1" si="0"/>
        <v>0</v>
      </c>
      <c r="AP7" s="111">
        <f t="shared" ca="1" si="0"/>
        <v>0</v>
      </c>
      <c r="AQ7" s="111">
        <f t="shared" ca="1" si="0"/>
        <v>0</v>
      </c>
      <c r="AT7" s="252" t="s">
        <v>191</v>
      </c>
      <c r="AU7" s="252" t="s">
        <v>192</v>
      </c>
      <c r="AV7" s="252" t="s">
        <v>193</v>
      </c>
      <c r="AW7" s="252" t="s">
        <v>194</v>
      </c>
      <c r="AX7" s="252" t="s">
        <v>195</v>
      </c>
      <c r="AY7" s="252" t="s">
        <v>196</v>
      </c>
      <c r="AZ7" s="252" t="s">
        <v>197</v>
      </c>
      <c r="BA7" s="252"/>
      <c r="BB7" s="252"/>
      <c r="BC7" s="252" t="s">
        <v>198</v>
      </c>
    </row>
    <row r="8" spans="2:55" ht="15" customHeight="1">
      <c r="B8" s="24" t="str">
        <f>CONCATENATE("Se (",IF(G14="","D+",CONCATENATE(G14,"+")),")")</f>
        <v>Se (BC+)</v>
      </c>
      <c r="C8" s="47">
        <v>50.6</v>
      </c>
      <c r="E8" s="47">
        <v>14.3</v>
      </c>
      <c r="G8" s="115">
        <f>(C8)/(C8+E8)</f>
        <v>0.77966101694915246</v>
      </c>
      <c r="H8" s="114"/>
      <c r="I8" s="109" t="s">
        <v>82</v>
      </c>
      <c r="J8" s="76" t="str">
        <f ca="1">IF(OR(J18&lt;0,J20&lt;0,L18&lt;0,L20&lt;0),"Error","No error")</f>
        <v>No error</v>
      </c>
      <c r="K8" s="275"/>
      <c r="L8" s="275"/>
      <c r="M8" s="275"/>
      <c r="N8" s="275"/>
      <c r="O8" s="275"/>
      <c r="P8" s="275"/>
      <c r="Q8" s="22"/>
      <c r="R8" s="22"/>
      <c r="S8" s="271" t="s">
        <v>97</v>
      </c>
      <c r="T8" s="271"/>
      <c r="U8" s="271"/>
      <c r="V8" s="271"/>
      <c r="W8" s="271"/>
      <c r="X8" s="271"/>
      <c r="Y8" s="271"/>
      <c r="Z8" s="271"/>
      <c r="AB8" s="126"/>
      <c r="AC8" s="10"/>
      <c r="AD8" s="10"/>
      <c r="AE8" s="11"/>
      <c r="AF8" s="126"/>
      <c r="AG8" s="10"/>
      <c r="AI8" s="53">
        <f t="shared" si="1"/>
        <v>0.08</v>
      </c>
      <c r="AJ8" s="50">
        <f ca="1"/>
        <v>0</v>
      </c>
      <c r="AK8" s="50">
        <f ca="1"/>
        <v>0</v>
      </c>
      <c r="AL8" s="50">
        <f ca="1"/>
        <v>0</v>
      </c>
      <c r="AM8" s="50">
        <f ca="1"/>
        <v>0</v>
      </c>
      <c r="AN8" s="111">
        <f t="shared" ca="1" si="0"/>
        <v>0</v>
      </c>
      <c r="AO8" s="111">
        <f t="shared" ca="1" si="0"/>
        <v>0</v>
      </c>
      <c r="AP8" s="111">
        <f t="shared" ca="1" si="0"/>
        <v>0</v>
      </c>
      <c r="AQ8" s="111">
        <f t="shared" ca="1" si="0"/>
        <v>0</v>
      </c>
      <c r="AT8" s="251" t="s">
        <v>199</v>
      </c>
      <c r="AU8" s="251">
        <f>IF((C18/C20)/(E18/E20)&gt;0,(C18/C20)/(E18/E20),"")</f>
        <v>0.95424058714868398</v>
      </c>
      <c r="AV8" s="251">
        <f>IF(AU8&lt;&gt;"",AU8-EXP(LN((C18/C20)/(E18/E20))-1.96*Z4),"")</f>
        <v>0.14499693294351768</v>
      </c>
      <c r="AW8" s="251">
        <f>IF(AU8&lt;&gt;"",EXP(LN((C18/C20)/(E18/E20))+1.96*Z4)-AU8,"")</f>
        <v>0.17097688404202416</v>
      </c>
      <c r="AX8" s="251"/>
      <c r="AY8" s="251"/>
      <c r="AZ8" s="251">
        <v>2.5</v>
      </c>
      <c r="BA8" s="251"/>
      <c r="BB8" s="251"/>
      <c r="BC8" s="251">
        <f>MIN($F$3:$F$17)</f>
        <v>0</v>
      </c>
    </row>
    <row r="9" spans="2:55" ht="13">
      <c r="B9" s="24" t="str">
        <f>CONCATENATE("Se (",IF(G14="","D-",CONCATENATE(G14,"-")),")")</f>
        <v>Se (BC-)</v>
      </c>
      <c r="C9" s="26">
        <v>50.6</v>
      </c>
      <c r="E9" s="26">
        <v>14.3</v>
      </c>
      <c r="G9" s="115">
        <f t="shared" ref="G9:G11" si="2">(C9)/(C9+E9)</f>
        <v>0.77966101694915246</v>
      </c>
      <c r="H9" s="114"/>
      <c r="K9" s="275"/>
      <c r="L9" s="275"/>
      <c r="M9" s="275"/>
      <c r="N9" s="275"/>
      <c r="O9" s="275"/>
      <c r="P9" s="275"/>
      <c r="S9" s="50" t="s">
        <v>131</v>
      </c>
      <c r="V9" s="50">
        <f ca="1">NORMINV(RAND(),0,1)</f>
        <v>-0.90186831711628379</v>
      </c>
      <c r="W9" s="50" t="s">
        <v>131</v>
      </c>
      <c r="Z9" s="50">
        <f ca="1">NORMINV(RAND(),0,1)</f>
        <v>-0.3359378709766645</v>
      </c>
      <c r="AD9" s="50" t="s">
        <v>178</v>
      </c>
      <c r="AF9" s="50">
        <f ca="1">IFERROR(J18/N18,"")</f>
        <v>0.15024038461538461</v>
      </c>
      <c r="AI9" s="53">
        <f t="shared" si="1"/>
        <v>0.1</v>
      </c>
      <c r="AJ9" s="50">
        <f ca="1"/>
        <v>0</v>
      </c>
      <c r="AK9" s="50">
        <f ca="1"/>
        <v>0</v>
      </c>
      <c r="AL9" s="50">
        <f ca="1"/>
        <v>0</v>
      </c>
      <c r="AM9" s="50">
        <f ca="1"/>
        <v>0</v>
      </c>
      <c r="AN9" s="111">
        <f t="shared" ca="1" si="0"/>
        <v>0</v>
      </c>
      <c r="AO9" s="111">
        <f t="shared" ca="1" si="0"/>
        <v>0</v>
      </c>
      <c r="AP9" s="111">
        <f t="shared" ca="1" si="0"/>
        <v>0</v>
      </c>
      <c r="AQ9" s="111">
        <f t="shared" ca="1" si="0"/>
        <v>0</v>
      </c>
      <c r="AT9" s="251" t="s">
        <v>200</v>
      </c>
      <c r="AU9" s="251">
        <f>IF(T23&lt;&gt;"",PERCENTILE(T23:T50014,0.5),"")</f>
        <v>0.9485916416049287</v>
      </c>
      <c r="AV9" s="251">
        <f>IF(T23&lt;&gt;"",AU9-PERCENTILE(T23:T50014,0.025),"")</f>
        <v>1.8984919941607115E-2</v>
      </c>
      <c r="AW9" s="251">
        <f>IF(T23&lt;&gt;"",PERCENTILE(T23:T50014,0.975)-AU9,"")</f>
        <v>3.9760056483907347E-3</v>
      </c>
      <c r="AX9" s="251"/>
      <c r="AY9" s="251"/>
      <c r="AZ9" s="251">
        <v>1.5</v>
      </c>
      <c r="BA9" s="251"/>
      <c r="BB9" s="251"/>
      <c r="BC9" s="251">
        <f>MIN($F$3:$F$17)</f>
        <v>0</v>
      </c>
    </row>
    <row r="10" spans="2:55" ht="13">
      <c r="B10" s="24" t="str">
        <f>CONCATENATE("Sp (",IF(G14="","D+",CONCATENATE(G14,"+")),")")</f>
        <v>Sp (BC+)</v>
      </c>
      <c r="C10" s="26">
        <v>70</v>
      </c>
      <c r="E10" s="26">
        <v>1</v>
      </c>
      <c r="G10" s="115">
        <f t="shared" si="2"/>
        <v>0.9859154929577465</v>
      </c>
      <c r="H10" s="114"/>
      <c r="I10" s="122" t="s">
        <v>106</v>
      </c>
      <c r="J10" s="26">
        <v>0.8</v>
      </c>
      <c r="K10" s="275"/>
      <c r="L10" s="275"/>
      <c r="M10" s="275"/>
      <c r="N10" s="275"/>
      <c r="O10" s="275"/>
      <c r="P10" s="275"/>
      <c r="S10" s="50" t="s">
        <v>132</v>
      </c>
      <c r="T10" s="127"/>
      <c r="V10" s="50">
        <f ca="1">IF(J10&lt;1,NORMINV(RAND(),$J$10*V9,SQRT(1-J10^2)),V9)</f>
        <v>-0.74030404269714012</v>
      </c>
      <c r="W10" s="50" t="s">
        <v>132</v>
      </c>
      <c r="X10" s="127"/>
      <c r="Z10" s="50">
        <f ca="1">IF(J10&lt;1,NORMINV(RAND(),$J$10*Z9,SQRT(1-J10^2)),Z9)</f>
        <v>-0.61255401400594833</v>
      </c>
      <c r="AD10" s="50" t="s">
        <v>179</v>
      </c>
      <c r="AF10" s="50">
        <f ca="1">IFERROR(J20/N20,"")</f>
        <v>0.1621676067687349</v>
      </c>
      <c r="AI10" s="53">
        <f t="shared" si="1"/>
        <v>0.12000000000000001</v>
      </c>
      <c r="AJ10" s="50">
        <f ca="1"/>
        <v>0</v>
      </c>
      <c r="AK10" s="50">
        <f ca="1"/>
        <v>0</v>
      </c>
      <c r="AL10" s="50">
        <f ca="1"/>
        <v>0</v>
      </c>
      <c r="AM10" s="50">
        <f ca="1"/>
        <v>0</v>
      </c>
      <c r="AN10" s="111">
        <f t="shared" ca="1" si="0"/>
        <v>0</v>
      </c>
      <c r="AO10" s="111">
        <f t="shared" ca="1" si="0"/>
        <v>0</v>
      </c>
      <c r="AP10" s="111">
        <f t="shared" ca="1" si="0"/>
        <v>0</v>
      </c>
      <c r="AQ10" s="111">
        <f t="shared" ca="1" si="0"/>
        <v>0</v>
      </c>
      <c r="AT10" s="251" t="s">
        <v>67</v>
      </c>
      <c r="AU10" s="251">
        <f>IF(V23&lt;&gt;"",PERCENTILE(V23:V50014,0.5),"")</f>
        <v>0.947007713611</v>
      </c>
      <c r="AV10" s="251">
        <f>IF(V23&lt;&gt;"",AU10-PERCENTILE(V23:V50014,0.025),"")</f>
        <v>0.16542242461870182</v>
      </c>
      <c r="AW10" s="251">
        <f>IF(V23&lt;&gt;"",PERCENTILE(V23:V50014,0.975)-AU10,"")</f>
        <v>0.19789396745077847</v>
      </c>
      <c r="AX10" s="251"/>
      <c r="AY10" s="251"/>
      <c r="AZ10" s="251">
        <v>0.5</v>
      </c>
      <c r="BA10" s="251"/>
      <c r="BB10" s="251"/>
      <c r="BC10" s="251">
        <f>MIN($F$3:$F$17)</f>
        <v>0</v>
      </c>
    </row>
    <row r="11" spans="2:55" ht="13">
      <c r="B11" s="24" t="str">
        <f>CONCATENATE("Sp (",IF(G14="","D-",CONCATENATE(G14,"-")),")")</f>
        <v>Sp (BC-)</v>
      </c>
      <c r="C11" s="26">
        <v>70</v>
      </c>
      <c r="E11" s="132">
        <v>1</v>
      </c>
      <c r="G11" s="115">
        <f t="shared" si="2"/>
        <v>0.9859154929577465</v>
      </c>
      <c r="H11" s="114"/>
      <c r="I11" s="115"/>
      <c r="J11" s="115"/>
      <c r="K11" s="275"/>
      <c r="L11" s="275"/>
      <c r="M11" s="275"/>
      <c r="N11" s="275"/>
      <c r="O11" s="275"/>
      <c r="P11" s="275"/>
      <c r="S11" s="50" t="s">
        <v>133</v>
      </c>
      <c r="T11" s="127"/>
      <c r="V11" s="50">
        <f ca="1">_xlfn.NORM.DIST(V9,0,1,TRUE)</f>
        <v>0.18356341173445503</v>
      </c>
      <c r="W11" s="50" t="s">
        <v>133</v>
      </c>
      <c r="X11" s="127"/>
      <c r="Z11" s="50">
        <f ca="1">_xlfn.NORM.DIST(Z9,0,1,TRUE)</f>
        <v>0.36845885901688635</v>
      </c>
      <c r="AB11" s="113"/>
      <c r="AC11" s="136"/>
      <c r="AD11" s="50" t="s">
        <v>122</v>
      </c>
      <c r="AE11" s="50"/>
      <c r="AF11" s="50">
        <f ca="1">IFERROR(_xlfn.BETA.INV(RAND(),AF18,AF19),"")</f>
        <v>0.15012381776131911</v>
      </c>
      <c r="AI11" s="53">
        <f t="shared" si="1"/>
        <v>0.14000000000000001</v>
      </c>
      <c r="AJ11" s="50">
        <f ca="1"/>
        <v>0</v>
      </c>
      <c r="AK11" s="50">
        <f ca="1"/>
        <v>0</v>
      </c>
      <c r="AL11" s="50">
        <f ca="1"/>
        <v>0</v>
      </c>
      <c r="AM11" s="50">
        <f ca="1"/>
        <v>0</v>
      </c>
      <c r="AN11" s="111">
        <f t="shared" ca="1" si="0"/>
        <v>0</v>
      </c>
      <c r="AO11" s="111">
        <f t="shared" ca="1" si="0"/>
        <v>0</v>
      </c>
      <c r="AP11" s="111">
        <f t="shared" ca="1" si="0"/>
        <v>0</v>
      </c>
      <c r="AQ11" s="111">
        <f t="shared" ca="1" si="0"/>
        <v>0</v>
      </c>
    </row>
    <row r="12" spans="2:55" ht="18.75" customHeight="1">
      <c r="B12" s="277" t="s">
        <v>44</v>
      </c>
      <c r="C12" s="277"/>
      <c r="D12" s="27"/>
      <c r="E12" s="26">
        <v>1</v>
      </c>
      <c r="F12" s="1"/>
      <c r="G12" s="1" t="s">
        <v>46</v>
      </c>
      <c r="H12" s="55"/>
      <c r="I12" s="54">
        <v>1000</v>
      </c>
      <c r="J12" s="22"/>
      <c r="K12" s="275"/>
      <c r="L12" s="275"/>
      <c r="M12" s="275"/>
      <c r="N12" s="275"/>
      <c r="O12" s="275"/>
      <c r="P12" s="275"/>
      <c r="S12" s="50" t="s">
        <v>134</v>
      </c>
      <c r="T12" s="127"/>
      <c r="V12" s="50">
        <f ca="1">_xlfn.NORM.DIST(V10,0,1,TRUE)</f>
        <v>0.22955776424629981</v>
      </c>
      <c r="W12" s="50" t="s">
        <v>134</v>
      </c>
      <c r="X12" s="127"/>
      <c r="Z12" s="50">
        <f ca="1">_xlfn.NORM.DIST(Z10,0,1,TRUE)</f>
        <v>0.27008563638265187</v>
      </c>
      <c r="AB12" s="136"/>
      <c r="AC12" s="136"/>
      <c r="AD12" s="50" t="s">
        <v>123</v>
      </c>
      <c r="AE12" s="50"/>
      <c r="AF12" s="50">
        <f ca="1">IFERROR(_xlfn.BETA.INV(RAND(),AF20,AF21),"")</f>
        <v>0.16543577060656622</v>
      </c>
      <c r="AH12" s="20"/>
      <c r="AI12" s="53">
        <f t="shared" si="1"/>
        <v>0.16</v>
      </c>
      <c r="AJ12" s="50">
        <f ca="1"/>
        <v>0</v>
      </c>
      <c r="AK12" s="50">
        <f ca="1"/>
        <v>0</v>
      </c>
      <c r="AL12" s="50">
        <f ca="1"/>
        <v>0</v>
      </c>
      <c r="AM12" s="50">
        <f ca="1"/>
        <v>0</v>
      </c>
      <c r="AN12" s="111">
        <f t="shared" ca="1" si="0"/>
        <v>0</v>
      </c>
      <c r="AO12" s="111">
        <f t="shared" ca="1" si="0"/>
        <v>0</v>
      </c>
      <c r="AP12" s="111">
        <f t="shared" ca="1" si="0"/>
        <v>0</v>
      </c>
      <c r="AQ12" s="111">
        <f t="shared" ca="1" si="0"/>
        <v>0</v>
      </c>
    </row>
    <row r="13" spans="2:55" ht="13">
      <c r="B13" s="278" t="s">
        <v>33</v>
      </c>
      <c r="C13" s="278"/>
      <c r="D13" s="278"/>
      <c r="E13" s="278"/>
      <c r="F13" s="278"/>
      <c r="G13" s="278"/>
      <c r="I13" s="105" t="b">
        <v>0</v>
      </c>
      <c r="J13" s="22"/>
      <c r="K13" s="275"/>
      <c r="L13" s="275"/>
      <c r="M13" s="275"/>
      <c r="N13" s="275"/>
      <c r="O13" s="275"/>
      <c r="P13" s="275"/>
      <c r="S13" s="9" t="s">
        <v>114</v>
      </c>
      <c r="T13" s="138"/>
      <c r="U13" s="138"/>
      <c r="V13" s="68"/>
      <c r="W13" s="68"/>
      <c r="X13" s="138"/>
      <c r="Y13" s="68"/>
      <c r="Z13" s="68"/>
      <c r="AB13" s="135"/>
      <c r="AC13" s="136"/>
      <c r="AD13" s="50" t="s">
        <v>187</v>
      </c>
      <c r="AE13" s="50"/>
      <c r="AF13" s="50">
        <f ca="1">IFERROR((P18*AF11)/(P18*AF11+(1-P20)*(1-AF11)),"")</f>
        <v>0.97431136725758161</v>
      </c>
      <c r="AI13" s="53">
        <f t="shared" si="1"/>
        <v>0.18</v>
      </c>
      <c r="AJ13" s="50">
        <f ca="1"/>
        <v>0</v>
      </c>
      <c r="AK13" s="50">
        <f ca="1"/>
        <v>0</v>
      </c>
      <c r="AL13" s="50">
        <f ca="1"/>
        <v>0</v>
      </c>
      <c r="AM13" s="50">
        <f ca="1"/>
        <v>0</v>
      </c>
      <c r="AN13" s="111">
        <f t="shared" ca="1" si="0"/>
        <v>0</v>
      </c>
      <c r="AO13" s="111">
        <f t="shared" ca="1" si="0"/>
        <v>0</v>
      </c>
      <c r="AP13" s="111">
        <f t="shared" ca="1" si="0"/>
        <v>0</v>
      </c>
      <c r="AQ13" s="111">
        <f t="shared" ca="1" si="0"/>
        <v>0</v>
      </c>
    </row>
    <row r="14" spans="2:55" ht="13">
      <c r="B14" s="1" t="s">
        <v>10</v>
      </c>
      <c r="C14" s="133" t="s">
        <v>77</v>
      </c>
      <c r="D14" s="1" t="s">
        <v>11</v>
      </c>
      <c r="G14" s="134" t="s">
        <v>76</v>
      </c>
      <c r="H14" s="33"/>
      <c r="I14" s="48"/>
      <c r="J14" s="48"/>
      <c r="K14" s="276"/>
      <c r="L14" s="276"/>
      <c r="M14" s="276"/>
      <c r="N14" s="276"/>
      <c r="O14" s="276"/>
      <c r="P14" s="276"/>
      <c r="S14" s="82" t="s">
        <v>115</v>
      </c>
      <c r="T14" s="127"/>
      <c r="V14" s="139">
        <f>C18/G18</f>
        <v>0.12920673076923078</v>
      </c>
      <c r="W14" s="82" t="s">
        <v>117</v>
      </c>
      <c r="X14" s="127"/>
      <c r="Z14" s="139">
        <f>1-V14</f>
        <v>0.87079326923076916</v>
      </c>
      <c r="AB14" s="135"/>
      <c r="AC14" s="136"/>
      <c r="AD14" s="50" t="s">
        <v>188</v>
      </c>
      <c r="AE14" s="50"/>
      <c r="AF14" s="50">
        <f ca="1">IFERROR((P19*AF12)/(P19*AF12+(1-P21)*(1-AF12)),"")</f>
        <v>0.97704475317569439</v>
      </c>
      <c r="AI14" s="53">
        <f t="shared" si="1"/>
        <v>0.19999999999999998</v>
      </c>
      <c r="AJ14" s="50">
        <f ca="1"/>
        <v>0</v>
      </c>
      <c r="AK14" s="50">
        <f ca="1"/>
        <v>0</v>
      </c>
      <c r="AL14" s="50">
        <f ca="1"/>
        <v>0</v>
      </c>
      <c r="AM14" s="50">
        <f ca="1"/>
        <v>0</v>
      </c>
      <c r="AN14" s="111">
        <f t="shared" ca="1" si="0"/>
        <v>0</v>
      </c>
      <c r="AO14" s="111">
        <f t="shared" ca="1" si="0"/>
        <v>0</v>
      </c>
      <c r="AP14" s="111">
        <f t="shared" ca="1" si="0"/>
        <v>0</v>
      </c>
      <c r="AQ14" s="111">
        <f t="shared" ca="1" si="0"/>
        <v>0</v>
      </c>
    </row>
    <row r="15" spans="2:55" ht="13">
      <c r="B15" s="279" t="str">
        <f>IF(C14&lt;&gt;"",IF(G14&lt;&gt;"",CONCATENATE("Data (Enter ",C14,"-",G14," Data in Blue Cells)"),"Data (Enter Crude Data in Blue Cells)"),"Data (Enter Crude Data in Blue Cells)")</f>
        <v>Data (Enter Smoke-BC Data in Blue Cells)</v>
      </c>
      <c r="C15" s="279"/>
      <c r="D15" s="279"/>
      <c r="E15" s="279"/>
      <c r="F15" s="279"/>
      <c r="G15" s="279"/>
      <c r="H15" s="46"/>
      <c r="I15" s="280" t="s">
        <v>167</v>
      </c>
      <c r="J15" s="280"/>
      <c r="K15" s="280"/>
      <c r="L15" s="280"/>
      <c r="M15" s="280"/>
      <c r="N15" s="280"/>
      <c r="O15" s="280"/>
      <c r="P15" s="280"/>
      <c r="S15" s="82" t="s">
        <v>116</v>
      </c>
      <c r="T15" s="127"/>
      <c r="V15" s="128">
        <f>C20/E20</f>
        <v>0.15549348230912477</v>
      </c>
      <c r="W15" s="82" t="s">
        <v>118</v>
      </c>
      <c r="X15" s="127"/>
      <c r="Z15" s="128">
        <f>1-V15</f>
        <v>0.84450651769087526</v>
      </c>
      <c r="AB15" s="135"/>
      <c r="AC15" s="136"/>
      <c r="AD15" s="50" t="s">
        <v>189</v>
      </c>
      <c r="AE15" s="50"/>
      <c r="AF15" s="50">
        <f ca="1">IFERROR((P20*(1-AF11))/((1-P18 )*AF11+P20* (1-AF11)),"")</f>
        <v>0.96682933560400119</v>
      </c>
      <c r="AI15" s="53">
        <f t="shared" si="1"/>
        <v>0.21999999999999997</v>
      </c>
      <c r="AJ15" s="50">
        <f ca="1"/>
        <v>0</v>
      </c>
      <c r="AK15" s="50">
        <f ca="1"/>
        <v>0</v>
      </c>
      <c r="AL15" s="50">
        <f ca="1"/>
        <v>0</v>
      </c>
      <c r="AM15" s="50">
        <f ca="1"/>
        <v>0</v>
      </c>
      <c r="AN15" s="111">
        <f t="shared" ca="1" si="0"/>
        <v>0</v>
      </c>
      <c r="AO15" s="111">
        <f t="shared" ca="1" si="0"/>
        <v>0</v>
      </c>
      <c r="AP15" s="111">
        <f t="shared" ca="1" si="0"/>
        <v>0</v>
      </c>
      <c r="AQ15" s="111">
        <f t="shared" ca="1" si="0"/>
        <v>0</v>
      </c>
    </row>
    <row r="16" spans="2:55" ht="13.5" thickBot="1">
      <c r="B16" s="4"/>
      <c r="C16" s="281" t="s">
        <v>34</v>
      </c>
      <c r="D16" s="281" t="s">
        <v>1</v>
      </c>
      <c r="E16" s="281"/>
      <c r="F16" s="281"/>
      <c r="G16" s="39"/>
      <c r="I16" s="4"/>
      <c r="J16" s="281" t="s">
        <v>168</v>
      </c>
      <c r="K16" s="281"/>
      <c r="L16" s="281"/>
      <c r="M16" s="281"/>
      <c r="N16" s="40"/>
      <c r="P16" s="20">
        <f ca="1">IF(J18&gt;0,IF(J20&gt;0,IF(L18&gt;0,IF(L20&gt;0,0,1),1),1),1)</f>
        <v>0</v>
      </c>
      <c r="S16" s="9" t="s">
        <v>141</v>
      </c>
      <c r="T16" s="68"/>
      <c r="U16" s="68"/>
      <c r="V16" s="68"/>
      <c r="W16" s="68"/>
      <c r="X16" s="68"/>
      <c r="Y16" s="68"/>
      <c r="Z16" s="68"/>
      <c r="AB16" s="135"/>
      <c r="AC16" s="136"/>
      <c r="AD16" s="50" t="s">
        <v>190</v>
      </c>
      <c r="AE16" s="50"/>
      <c r="AF16" s="50">
        <f ca="1">IFERROR((P21*(1-AF12))/((1-P19 )*AF12+P21* (1-AF12)),"")</f>
        <v>0.96292570989874937</v>
      </c>
      <c r="AI16" s="53">
        <f t="shared" si="1"/>
        <v>0.23999999999999996</v>
      </c>
      <c r="AJ16" s="50">
        <f ca="1"/>
        <v>0</v>
      </c>
      <c r="AK16" s="50">
        <f ca="1"/>
        <v>0</v>
      </c>
      <c r="AL16" s="50">
        <f ca="1"/>
        <v>0</v>
      </c>
      <c r="AM16" s="50">
        <f ca="1"/>
        <v>0</v>
      </c>
      <c r="AN16" s="111">
        <f t="shared" ca="1" si="0"/>
        <v>0</v>
      </c>
      <c r="AO16" s="111">
        <f t="shared" ca="1" si="0"/>
        <v>0</v>
      </c>
      <c r="AP16" s="111">
        <f t="shared" ca="1" si="0"/>
        <v>0</v>
      </c>
      <c r="AQ16" s="111">
        <f t="shared" ca="1" si="0"/>
        <v>0</v>
      </c>
    </row>
    <row r="17" spans="2:43" ht="13.5" thickBot="1">
      <c r="B17" s="5"/>
      <c r="C17" s="282" t="str">
        <f>IF(C14&lt;&gt;"",CONCATENATE(C14," +"),"E+")</f>
        <v>Smoke +</v>
      </c>
      <c r="D17" s="282" t="s">
        <v>0</v>
      </c>
      <c r="E17" s="282" t="str">
        <f>IF(C14&lt;&gt;"",CONCATENATE(C14," -"),"E-")</f>
        <v>Smoke -</v>
      </c>
      <c r="F17" s="282" t="s">
        <v>0</v>
      </c>
      <c r="G17" s="29" t="s">
        <v>1</v>
      </c>
      <c r="I17" s="5"/>
      <c r="J17" s="282" t="str">
        <f>C17</f>
        <v>Smoke +</v>
      </c>
      <c r="K17" s="282" t="s">
        <v>0</v>
      </c>
      <c r="L17" s="282" t="str">
        <f>E17</f>
        <v>Smoke -</v>
      </c>
      <c r="M17" s="282" t="s">
        <v>0</v>
      </c>
      <c r="N17" s="41" t="str">
        <f>G17</f>
        <v>Total</v>
      </c>
      <c r="O17" s="284" t="s">
        <v>64</v>
      </c>
      <c r="P17" s="284"/>
      <c r="S17" s="82" t="s">
        <v>129</v>
      </c>
      <c r="U17" s="127"/>
      <c r="V17" s="139">
        <f ca="1">IF(ISBLANK(W23)=TRUE,"",CORREL(W22:W999999,X22:X999999))</f>
        <v>1.0000000000000002</v>
      </c>
      <c r="W17" s="135" t="s">
        <v>130</v>
      </c>
      <c r="Y17" s="136"/>
      <c r="Z17" s="139">
        <f ca="1">IF(ISBLANK(Y23)=TRUE,"",CORREL(Y22:Y999999,Z22:Z999999))</f>
        <v>1</v>
      </c>
      <c r="AB17" s="136"/>
      <c r="AC17" s="136"/>
      <c r="AD17" s="50"/>
      <c r="AE17" s="50"/>
      <c r="AF17" s="50"/>
      <c r="AI17" s="53">
        <f t="shared" si="1"/>
        <v>0.25999999999999995</v>
      </c>
      <c r="AJ17" s="50">
        <f ca="1"/>
        <v>0</v>
      </c>
      <c r="AK17" s="50">
        <f ca="1"/>
        <v>0</v>
      </c>
      <c r="AL17" s="50">
        <f ca="1"/>
        <v>0</v>
      </c>
      <c r="AM17" s="50">
        <f ca="1"/>
        <v>0</v>
      </c>
      <c r="AN17" s="111">
        <f t="shared" ca="1" si="0"/>
        <v>0</v>
      </c>
      <c r="AO17" s="111">
        <f t="shared" ca="1" si="0"/>
        <v>0</v>
      </c>
      <c r="AP17" s="111">
        <f t="shared" ca="1" si="0"/>
        <v>0</v>
      </c>
      <c r="AQ17" s="111">
        <f t="shared" ca="1" si="0"/>
        <v>0</v>
      </c>
    </row>
    <row r="18" spans="2:43" ht="14.25" customHeight="1">
      <c r="B18" s="283" t="str">
        <f>IF(G14&lt;&gt;"",CONCATENATE(G14," +"),"D+")</f>
        <v>BC +</v>
      </c>
      <c r="C18" s="285">
        <v>215</v>
      </c>
      <c r="D18" s="12" t="s">
        <v>15</v>
      </c>
      <c r="E18" s="287">
        <v>1449</v>
      </c>
      <c r="F18" s="12" t="s">
        <v>17</v>
      </c>
      <c r="G18" s="288">
        <f>SUM(C18:F19)</f>
        <v>1664</v>
      </c>
      <c r="I18" s="283" t="str">
        <f>B18</f>
        <v>BC +</v>
      </c>
      <c r="J18" s="290">
        <f ca="1">IF(AND(AF13&lt;&gt;"",AF15&lt;&gt;""),IF(AF13=0,0,IF(AF13=1,C18,_xlfn.BINOM.INV(C18,AF13,RAND())))+IF(AF15=0,E18,IF(AF15=1,0,_xlfn.BINOM.INV(E18,1-AF15,RAND()))),"")</f>
        <v>250</v>
      </c>
      <c r="K18" s="16" t="s">
        <v>119</v>
      </c>
      <c r="L18" s="290">
        <f ca="1">IF(J18&lt;&gt;"",N18-J18,"")</f>
        <v>1414</v>
      </c>
      <c r="M18" s="16" t="s">
        <v>120</v>
      </c>
      <c r="N18" s="288">
        <f>G18</f>
        <v>1664</v>
      </c>
      <c r="O18" s="1" t="s">
        <v>50</v>
      </c>
      <c r="P18" s="112">
        <f ca="1">AG3</f>
        <v>0.80650218589023326</v>
      </c>
      <c r="S18" s="271" t="s">
        <v>96</v>
      </c>
      <c r="T18" s="271"/>
      <c r="U18" s="271"/>
      <c r="V18" s="271"/>
      <c r="W18" s="271"/>
      <c r="X18" s="271"/>
      <c r="Y18" s="271"/>
      <c r="Z18" s="271"/>
      <c r="AB18" s="113"/>
      <c r="AC18" s="136"/>
      <c r="AD18" s="50" t="s">
        <v>119</v>
      </c>
      <c r="AE18" s="50"/>
      <c r="AF18" s="50">
        <f ca="1">IFERROR(((C18-(1-AG5)*G18) / (AG3-(1-AG5))),"")</f>
        <v>260.04459653536691</v>
      </c>
      <c r="AI18" s="53">
        <f t="shared" si="1"/>
        <v>0.27999999999999997</v>
      </c>
      <c r="AJ18" s="50">
        <f ca="1"/>
        <v>0</v>
      </c>
      <c r="AK18" s="50">
        <f ca="1"/>
        <v>0</v>
      </c>
      <c r="AL18" s="50">
        <f ca="1"/>
        <v>0</v>
      </c>
      <c r="AM18" s="50">
        <f ca="1"/>
        <v>0</v>
      </c>
      <c r="AN18" s="111">
        <f t="shared" ca="1" si="0"/>
        <v>0</v>
      </c>
      <c r="AO18" s="111">
        <f t="shared" ca="1" si="0"/>
        <v>0</v>
      </c>
      <c r="AP18" s="111">
        <f t="shared" ca="1" si="0"/>
        <v>0</v>
      </c>
      <c r="AQ18" s="111">
        <f t="shared" ca="1" si="0"/>
        <v>0</v>
      </c>
    </row>
    <row r="19" spans="2:43" ht="12.75" customHeight="1">
      <c r="B19" s="283"/>
      <c r="C19" s="286"/>
      <c r="D19" s="13"/>
      <c r="E19" s="286"/>
      <c r="F19" s="12"/>
      <c r="G19" s="289"/>
      <c r="I19" s="283"/>
      <c r="J19" s="291"/>
      <c r="K19" s="16"/>
      <c r="L19" s="291"/>
      <c r="M19" s="16"/>
      <c r="N19" s="289"/>
      <c r="O19" s="1" t="s">
        <v>49</v>
      </c>
      <c r="P19" s="112">
        <f ca="1">IF(E12=2,AG4,P18)</f>
        <v>0.80650218589023326</v>
      </c>
      <c r="AB19" s="113"/>
      <c r="AC19" s="136"/>
      <c r="AD19" s="50" t="s">
        <v>120</v>
      </c>
      <c r="AE19" s="50"/>
      <c r="AF19" s="50">
        <f ca="1">IFERROR(G18-((C18-(1-AG5)*G18) / (AG3-(1-AG5))),"")</f>
        <v>1403.955403464633</v>
      </c>
      <c r="AI19" s="53">
        <f t="shared" si="1"/>
        <v>0.3</v>
      </c>
      <c r="AJ19" s="50">
        <f ca="1"/>
        <v>0</v>
      </c>
      <c r="AK19" s="50">
        <f ca="1"/>
        <v>0</v>
      </c>
      <c r="AL19" s="50">
        <f ca="1"/>
        <v>0</v>
      </c>
      <c r="AM19" s="50">
        <f ca="1"/>
        <v>0</v>
      </c>
      <c r="AN19" s="111">
        <f t="shared" ca="1" si="0"/>
        <v>0</v>
      </c>
      <c r="AO19" s="111">
        <f t="shared" ca="1" si="0"/>
        <v>0</v>
      </c>
      <c r="AP19" s="111">
        <f t="shared" ca="1" si="0"/>
        <v>0</v>
      </c>
      <c r="AQ19" s="111">
        <f t="shared" ca="1" si="0"/>
        <v>0</v>
      </c>
    </row>
    <row r="20" spans="2:43" ht="12.75" customHeight="1">
      <c r="B20" s="283" t="str">
        <f>IF(G14&lt;&gt;"",CONCATENATE(G14," -"),"D-")</f>
        <v>BC -</v>
      </c>
      <c r="C20" s="292">
        <v>668</v>
      </c>
      <c r="D20" s="14" t="s">
        <v>16</v>
      </c>
      <c r="E20" s="292">
        <v>4296</v>
      </c>
      <c r="F20" s="14" t="s">
        <v>18</v>
      </c>
      <c r="G20" s="289">
        <f>SUM(C20:F21)</f>
        <v>4964</v>
      </c>
      <c r="I20" s="283" t="str">
        <f>B20</f>
        <v>BC -</v>
      </c>
      <c r="J20" s="295">
        <f ca="1">IF(AND(AF14&lt;&gt;"",AF16&lt;&gt;""),IF(AF14=1,C20,IF(AF14=0,0,_xlfn.BINOM.INV(C20,AF14,RAND())))+IF(AF16=1,0,IF(AF16=0,E20,_xlfn.BINOM.INV(E20,1-AF16,RAND()))),"")</f>
        <v>805</v>
      </c>
      <c r="K20" s="17" t="s">
        <v>121</v>
      </c>
      <c r="L20" s="295">
        <f ca="1">IF(J20&lt;&gt;"",N20-J20,"")</f>
        <v>4159</v>
      </c>
      <c r="M20" s="17" t="s">
        <v>72</v>
      </c>
      <c r="N20" s="289">
        <f>G20</f>
        <v>4964</v>
      </c>
      <c r="O20" s="1" t="s">
        <v>51</v>
      </c>
      <c r="P20" s="112">
        <f ca="1">AG5</f>
        <v>0.99624385186860698</v>
      </c>
      <c r="S20" s="297" t="s">
        <v>70</v>
      </c>
      <c r="T20" s="297"/>
      <c r="U20" s="297" t="s">
        <v>67</v>
      </c>
      <c r="V20" s="297"/>
      <c r="W20" s="297" t="s">
        <v>53</v>
      </c>
      <c r="X20" s="297"/>
      <c r="Y20" s="297"/>
      <c r="Z20" s="297"/>
      <c r="AB20" s="135"/>
      <c r="AC20" s="136"/>
      <c r="AD20" s="50" t="s">
        <v>121</v>
      </c>
      <c r="AE20" s="50"/>
      <c r="AF20" s="50">
        <f ca="1">IFERROR(((C20-(1-AG6)*G20) / (AG4-(1-AG6))),"")</f>
        <v>808.91645692662155</v>
      </c>
      <c r="AI20" s="53">
        <f t="shared" si="1"/>
        <v>0.32</v>
      </c>
      <c r="AJ20" s="50">
        <f ca="1"/>
        <v>0</v>
      </c>
      <c r="AK20" s="50">
        <f ca="1"/>
        <v>0</v>
      </c>
      <c r="AL20" s="50">
        <f ca="1"/>
        <v>0</v>
      </c>
      <c r="AM20" s="50">
        <f ca="1"/>
        <v>0</v>
      </c>
      <c r="AN20" s="111">
        <f t="shared" ca="1" si="0"/>
        <v>0</v>
      </c>
      <c r="AO20" s="111">
        <f t="shared" ca="1" si="0"/>
        <v>0</v>
      </c>
      <c r="AP20" s="111">
        <f t="shared" ca="1" si="0"/>
        <v>0</v>
      </c>
      <c r="AQ20" s="111">
        <f t="shared" ca="1" si="0"/>
        <v>0</v>
      </c>
    </row>
    <row r="21" spans="2:43" ht="13.5" thickBot="1">
      <c r="B21" s="283"/>
      <c r="C21" s="293"/>
      <c r="D21" s="15"/>
      <c r="E21" s="293"/>
      <c r="F21" s="15"/>
      <c r="G21" s="294"/>
      <c r="I21" s="283"/>
      <c r="J21" s="296"/>
      <c r="K21" s="18"/>
      <c r="L21" s="296"/>
      <c r="M21" s="18"/>
      <c r="N21" s="294"/>
      <c r="O21" s="1" t="s">
        <v>52</v>
      </c>
      <c r="P21" s="112">
        <f ca="1">IF(E12=2,AG6,P20)</f>
        <v>0.99624385186860698</v>
      </c>
      <c r="S21" s="57" t="s">
        <v>47</v>
      </c>
      <c r="T21" s="57" t="s">
        <v>48</v>
      </c>
      <c r="U21" s="57" t="str">
        <f>S21</f>
        <v>RR</v>
      </c>
      <c r="V21" s="57" t="str">
        <f>T21</f>
        <v>OR</v>
      </c>
      <c r="W21" s="57" t="s">
        <v>50</v>
      </c>
      <c r="X21" s="57" t="s">
        <v>49</v>
      </c>
      <c r="Y21" s="57" t="s">
        <v>51</v>
      </c>
      <c r="Z21" s="57" t="s">
        <v>52</v>
      </c>
      <c r="AB21" s="135"/>
      <c r="AC21" s="136"/>
      <c r="AD21" s="50" t="s">
        <v>72</v>
      </c>
      <c r="AE21" s="50"/>
      <c r="AF21" s="50">
        <f ca="1">IFERROR(G20-((C20-(1-AG6)*G20) / (AG4-(1-AG6))),"")</f>
        <v>4155.0835430733787</v>
      </c>
      <c r="AI21" s="53">
        <f t="shared" si="1"/>
        <v>0.34</v>
      </c>
      <c r="AJ21" s="50">
        <f ca="1"/>
        <v>0</v>
      </c>
      <c r="AK21" s="50">
        <f ca="1"/>
        <v>0</v>
      </c>
      <c r="AL21" s="50">
        <f ca="1"/>
        <v>0</v>
      </c>
      <c r="AM21" s="50">
        <f ca="1"/>
        <v>0</v>
      </c>
      <c r="AN21" s="111">
        <f t="shared" ca="1" si="0"/>
        <v>0</v>
      </c>
      <c r="AO21" s="111">
        <f t="shared" ca="1" si="0"/>
        <v>0</v>
      </c>
      <c r="AP21" s="111">
        <f t="shared" ca="1" si="0"/>
        <v>0</v>
      </c>
      <c r="AQ21" s="111">
        <f t="shared" ca="1" si="0"/>
        <v>0</v>
      </c>
    </row>
    <row r="22" spans="2:43" ht="12.75" customHeight="1">
      <c r="B22" s="283" t="s">
        <v>1</v>
      </c>
      <c r="C22" s="301">
        <f>SUM(C18:C21)</f>
        <v>883</v>
      </c>
      <c r="D22" s="16" t="s">
        <v>20</v>
      </c>
      <c r="E22" s="301">
        <f>SUM(E18:E21)</f>
        <v>5745</v>
      </c>
      <c r="F22" s="16" t="s">
        <v>19</v>
      </c>
      <c r="G22" s="6"/>
      <c r="I22" s="283" t="str">
        <f>B22</f>
        <v>Total</v>
      </c>
      <c r="J22" s="290">
        <f ca="1">IF(OR(J18="",J20=""),"",J18+J20)</f>
        <v>1055</v>
      </c>
      <c r="K22" s="16" t="s">
        <v>124</v>
      </c>
      <c r="L22" s="290">
        <f ca="1">IF(OR(L18="",L20=""),"",L18+L20)</f>
        <v>5573</v>
      </c>
      <c r="M22" s="16" t="s">
        <v>125</v>
      </c>
      <c r="S22" s="57">
        <f ca="1">IF(OR(AF18="",AF20="",AF19="",AF21="",AF23=0),"",AF23)</f>
        <v>0.96323522389208371</v>
      </c>
      <c r="T22" s="57">
        <f ca="1">IF(OR(J18="",J20="",L18="",L20="",AF24=0),"",AF24)</f>
        <v>0.95141635027685278</v>
      </c>
      <c r="U22" s="103">
        <f ca="1">IF(OR(J18="",J20="",L18="",L20="",V3=0),"",V6)</f>
        <v>0.92416008751421441</v>
      </c>
      <c r="V22" s="57">
        <f ca="1">IF(OR(J18="",J20="",L18="",L20="",Z3=0),"",Z6)</f>
        <v>0.96504466601310612</v>
      </c>
      <c r="W22" s="104">
        <f ca="1">P18</f>
        <v>0.80650218589023326</v>
      </c>
      <c r="X22" s="104">
        <f ca="1">P19</f>
        <v>0.80650218589023326</v>
      </c>
      <c r="Y22" s="104">
        <f ca="1">P20</f>
        <v>0.99624385186860698</v>
      </c>
      <c r="Z22" s="104">
        <f ca="1">P21</f>
        <v>0.99624385186860698</v>
      </c>
      <c r="AB22" s="135"/>
      <c r="AC22" s="136"/>
      <c r="AD22" s="20"/>
      <c r="AF22" s="127"/>
      <c r="AI22" s="53">
        <f t="shared" si="1"/>
        <v>0.36000000000000004</v>
      </c>
      <c r="AJ22" s="50">
        <f ca="1"/>
        <v>0</v>
      </c>
      <c r="AK22" s="50">
        <f ca="1"/>
        <v>0</v>
      </c>
      <c r="AL22" s="50">
        <f ca="1"/>
        <v>0</v>
      </c>
      <c r="AM22" s="50">
        <f ca="1"/>
        <v>0</v>
      </c>
      <c r="AN22" s="111">
        <f t="shared" ca="1" si="0"/>
        <v>0</v>
      </c>
      <c r="AO22" s="111">
        <f t="shared" ca="1" si="0"/>
        <v>0</v>
      </c>
      <c r="AP22" s="111">
        <f t="shared" ca="1" si="0"/>
        <v>0</v>
      </c>
      <c r="AQ22" s="111">
        <f t="shared" ca="1" si="0"/>
        <v>0</v>
      </c>
    </row>
    <row r="23" spans="2:43" ht="13.5" customHeight="1">
      <c r="B23" s="283"/>
      <c r="C23" s="302"/>
      <c r="D23" s="7"/>
      <c r="E23" s="302"/>
      <c r="F23" s="7"/>
      <c r="G23" s="3"/>
      <c r="I23" s="283"/>
      <c r="J23" s="291"/>
      <c r="K23" s="8"/>
      <c r="L23" s="291"/>
      <c r="M23" s="8"/>
      <c r="S23" s="50">
        <v>0.96389281957508655</v>
      </c>
      <c r="T23" s="50">
        <v>0.95227823105667575</v>
      </c>
      <c r="U23" s="50">
        <v>0.93391804086144825</v>
      </c>
      <c r="V23" s="50">
        <v>0.75395121983696534</v>
      </c>
      <c r="W23" s="50">
        <v>0.83230216358531273</v>
      </c>
      <c r="X23" s="50">
        <v>0.83230216358531273</v>
      </c>
      <c r="Y23" s="50">
        <v>0.99814681609071076</v>
      </c>
      <c r="Z23" s="50">
        <v>0.99814681609071076</v>
      </c>
      <c r="AB23" s="136"/>
      <c r="AC23" s="136"/>
      <c r="AD23" s="50" t="s">
        <v>47</v>
      </c>
      <c r="AE23" s="50"/>
      <c r="AF23" s="50">
        <f ca="1">IFERROR((AF18/(AF18+AF20))/(AF19/(AF19+AF21)),"")</f>
        <v>0.96323522389208371</v>
      </c>
      <c r="AI23" s="53">
        <f t="shared" si="1"/>
        <v>0.38000000000000006</v>
      </c>
      <c r="AJ23" s="50">
        <f ca="1"/>
        <v>0</v>
      </c>
      <c r="AK23" s="50">
        <f ca="1"/>
        <v>0</v>
      </c>
      <c r="AL23" s="50">
        <f ca="1"/>
        <v>0</v>
      </c>
      <c r="AM23" s="50">
        <f ca="1"/>
        <v>0</v>
      </c>
      <c r="AN23" s="111">
        <f t="shared" ca="1" si="0"/>
        <v>0</v>
      </c>
      <c r="AO23" s="111">
        <f t="shared" ca="1" si="0"/>
        <v>0</v>
      </c>
      <c r="AP23" s="111">
        <f t="shared" ca="1" si="0"/>
        <v>0</v>
      </c>
      <c r="AQ23" s="111">
        <f t="shared" ca="1" si="0"/>
        <v>0</v>
      </c>
    </row>
    <row r="24" spans="2:43" ht="13.5" customHeight="1">
      <c r="B24" s="44"/>
      <c r="C24" s="44"/>
      <c r="D24" s="45"/>
      <c r="E24" s="44"/>
      <c r="F24" s="45"/>
      <c r="G24" s="3"/>
      <c r="S24" s="50">
        <v>0.94449470938808289</v>
      </c>
      <c r="T24" s="50">
        <v>0.92710831218808554</v>
      </c>
      <c r="U24" s="50">
        <v>1.0915308046881822</v>
      </c>
      <c r="V24" s="50">
        <v>0.83157217490680013</v>
      </c>
      <c r="W24" s="50">
        <v>0.81217997980870971</v>
      </c>
      <c r="X24" s="50">
        <v>0.81217997980870971</v>
      </c>
      <c r="Y24" s="50">
        <v>0.94722733070228915</v>
      </c>
      <c r="Z24" s="50">
        <v>0.94722733070228915</v>
      </c>
      <c r="AB24" s="113"/>
      <c r="AC24" s="136"/>
      <c r="AD24" s="50" t="s">
        <v>48</v>
      </c>
      <c r="AE24" s="50"/>
      <c r="AF24" s="50">
        <f ca="1">IFERROR((AF18/AF20)/(AF19/AF21),"")</f>
        <v>0.95141635027685278</v>
      </c>
      <c r="AI24" s="53">
        <f t="shared" si="1"/>
        <v>0.40000000000000008</v>
      </c>
      <c r="AJ24" s="50">
        <f ca="1"/>
        <v>0</v>
      </c>
      <c r="AK24" s="50">
        <f ca="1"/>
        <v>0</v>
      </c>
      <c r="AL24" s="50">
        <f ca="1"/>
        <v>0</v>
      </c>
      <c r="AM24" s="50">
        <f ca="1"/>
        <v>0</v>
      </c>
      <c r="AN24" s="111">
        <f t="shared" ca="1" si="0"/>
        <v>0</v>
      </c>
      <c r="AO24" s="111">
        <f t="shared" ca="1" si="0"/>
        <v>0</v>
      </c>
      <c r="AP24" s="111">
        <f t="shared" ca="1" si="0"/>
        <v>0</v>
      </c>
      <c r="AQ24" s="111">
        <f t="shared" ca="1" si="0"/>
        <v>0</v>
      </c>
    </row>
    <row r="25" spans="2:43" ht="13.5" customHeight="1">
      <c r="B25" s="37" t="s">
        <v>35</v>
      </c>
      <c r="C25" s="38"/>
      <c r="D25" s="38"/>
      <c r="E25" s="37" t="s">
        <v>4</v>
      </c>
      <c r="F25" s="37"/>
      <c r="G25" s="38"/>
      <c r="I25" s="35" t="s">
        <v>169</v>
      </c>
      <c r="J25" s="36"/>
      <c r="K25" s="36"/>
      <c r="L25" s="36"/>
      <c r="M25" s="36"/>
      <c r="N25" s="35" t="s">
        <v>36</v>
      </c>
      <c r="O25" s="306"/>
      <c r="P25" s="306"/>
      <c r="S25" s="50">
        <v>0.95843575109630186</v>
      </c>
      <c r="T25" s="50">
        <v>0.94515860762913362</v>
      </c>
      <c r="U25" s="50">
        <v>0.93659441710112046</v>
      </c>
      <c r="V25" s="50">
        <v>0.82443185112534512</v>
      </c>
      <c r="W25" s="50">
        <v>0.78631878647297215</v>
      </c>
      <c r="X25" s="50">
        <v>0.78631878647297215</v>
      </c>
      <c r="Y25" s="50">
        <v>0.97936154544028464</v>
      </c>
      <c r="Z25" s="50">
        <v>0.97936154544028464</v>
      </c>
      <c r="AB25" s="136"/>
      <c r="AC25" s="136"/>
      <c r="AD25" s="136"/>
      <c r="AG25" s="127"/>
      <c r="AI25" s="53">
        <f t="shared" si="1"/>
        <v>0.4200000000000001</v>
      </c>
      <c r="AJ25" s="50">
        <f ca="1"/>
        <v>0</v>
      </c>
      <c r="AK25" s="50">
        <f ca="1"/>
        <v>0</v>
      </c>
      <c r="AL25" s="50">
        <f ca="1"/>
        <v>0</v>
      </c>
      <c r="AM25" s="50">
        <f ca="1"/>
        <v>0</v>
      </c>
      <c r="AN25" s="111">
        <f t="shared" ca="1" si="0"/>
        <v>0</v>
      </c>
      <c r="AO25" s="111">
        <f t="shared" ca="1" si="0"/>
        <v>0</v>
      </c>
      <c r="AP25" s="111">
        <f t="shared" ca="1" si="0"/>
        <v>0</v>
      </c>
      <c r="AQ25" s="111">
        <f t="shared" ca="1" si="0"/>
        <v>0</v>
      </c>
    </row>
    <row r="26" spans="2:43" ht="13.5" customHeight="1">
      <c r="B26" s="1" t="str">
        <f>IF(C14&lt;&gt;"",IF(G14&lt;&gt;"",CONCATENATE("RR (",C14,"-",G14,")"),"RR (ED)"),"RR (ED)")</f>
        <v>RR (Smoke-BC)</v>
      </c>
      <c r="E26" s="3" t="str">
        <f>CONCATENATE(ROUND((C18/C22)/(E18/E22),2)," (",ROUND(EXP(LN((C18/C22)/(E18/E22))-1.96*V4),2)," - ",ROUND(EXP(LN((C18/C22)/(E18/E22))+1.96*V4),2),")")</f>
        <v>0.97 (0.85 - 1.09)</v>
      </c>
      <c r="F26" s="3"/>
      <c r="G26" s="3"/>
      <c r="I26" s="1" t="str">
        <f>IF(C14&lt;&gt;"",IF(G14&lt;&gt;"",CONCATENATE("RR (",C14,"-",G14,")"),"RR (ED)"),"RR (ED)")</f>
        <v>RR (Smoke-BC)</v>
      </c>
      <c r="K26" s="3"/>
      <c r="M26" s="31"/>
      <c r="N26" s="65" t="str">
        <f ca="1">IF(OR(J18="",J20="",L18="",L20=""),"",CONCATENATE(ROUND((J18/J22)/(L18/L22),2)))</f>
        <v>0.93</v>
      </c>
      <c r="S26" s="50">
        <v>0.96220693196157969</v>
      </c>
      <c r="T26" s="50">
        <v>0.95007020870309866</v>
      </c>
      <c r="U26" s="50">
        <v>0.96217403136217317</v>
      </c>
      <c r="V26" s="50">
        <v>1.05515861976528</v>
      </c>
      <c r="W26" s="50">
        <v>0.77661083811579623</v>
      </c>
      <c r="X26" s="50">
        <v>0.77661083811579623</v>
      </c>
      <c r="Y26" s="50">
        <v>0.99311673931116062</v>
      </c>
      <c r="Z26" s="50">
        <v>0.99311673931116062</v>
      </c>
      <c r="AB26" s="136"/>
      <c r="AC26" s="113"/>
      <c r="AD26" s="113"/>
      <c r="AE26" s="129"/>
      <c r="AG26" s="127"/>
      <c r="AI26" s="53">
        <f t="shared" si="1"/>
        <v>0.44000000000000011</v>
      </c>
      <c r="AJ26" s="50">
        <f ca="1"/>
        <v>0</v>
      </c>
      <c r="AK26" s="50">
        <f ca="1"/>
        <v>0</v>
      </c>
      <c r="AL26" s="50">
        <f ca="1"/>
        <v>0</v>
      </c>
      <c r="AM26" s="50">
        <f ca="1"/>
        <v>0</v>
      </c>
      <c r="AN26" s="111">
        <f t="shared" ca="1" si="0"/>
        <v>0</v>
      </c>
      <c r="AO26" s="111">
        <f t="shared" ca="1" si="0"/>
        <v>0</v>
      </c>
      <c r="AP26" s="111">
        <f t="shared" ca="1" si="0"/>
        <v>0</v>
      </c>
      <c r="AQ26" s="111">
        <f t="shared" ca="1" si="0"/>
        <v>0</v>
      </c>
    </row>
    <row r="27" spans="2:43" ht="13.5" customHeight="1">
      <c r="B27" s="9" t="str">
        <f>IF(C14&lt;&gt;"",IF(G14&lt;&gt;"",CONCATENATE("OR (",C14,"-",G14,")"),"OR (ED)"),"OR (ED)")</f>
        <v>OR (Smoke-BC)</v>
      </c>
      <c r="C27" s="10"/>
      <c r="D27" s="10"/>
      <c r="E27" s="34" t="str">
        <f>CONCATENATE(ROUND((C18/C20)/(E18/E20),2)," (",ROUND(EXP(LN((C18/C20)/(E18/E20))-1.96*Z4),2)," - ",ROUND(EXP(LN((C18/C20)/(E18/E20))+1.96*Z4),2),")")</f>
        <v>0.95 (0.81 - 1.13)</v>
      </c>
      <c r="F27" s="34"/>
      <c r="G27" s="34"/>
      <c r="I27" s="9" t="str">
        <f>IF(C14&lt;&gt;"",IF(G14&lt;&gt;"",CONCATENATE("OR (",C14,"-",G14,")"),"OR (ED)"),"OR (ED)")</f>
        <v>OR (Smoke-BC)</v>
      </c>
      <c r="J27" s="10"/>
      <c r="K27" s="34"/>
      <c r="L27" s="10"/>
      <c r="M27" s="30"/>
      <c r="N27" s="66" t="str">
        <f ca="1">IF(OR(J18="",J20="",L18="",L20=""),"",CONCATENATE(ROUND((J18/J20)/(L18/L20),2)))</f>
        <v>0.91</v>
      </c>
      <c r="O27" s="10"/>
      <c r="P27" s="10"/>
      <c r="S27" s="50">
        <v>0.95114781956931804</v>
      </c>
      <c r="T27" s="50">
        <v>0.93569750691410014</v>
      </c>
      <c r="U27" s="50">
        <v>0.92500329743934939</v>
      </c>
      <c r="V27" s="50">
        <v>0.92777875375234253</v>
      </c>
      <c r="W27" s="50">
        <v>0.77943477653143267</v>
      </c>
      <c r="X27" s="50">
        <v>0.77943477653143267</v>
      </c>
      <c r="Y27" s="50">
        <v>0.96029971855914931</v>
      </c>
      <c r="Z27" s="50">
        <v>0.96029971855914931</v>
      </c>
      <c r="AE27" s="129"/>
      <c r="AG27" s="127"/>
      <c r="AI27" s="53">
        <f t="shared" si="1"/>
        <v>0.46000000000000013</v>
      </c>
      <c r="AJ27" s="50">
        <f ca="1"/>
        <v>0</v>
      </c>
      <c r="AK27" s="50">
        <f ca="1"/>
        <v>0</v>
      </c>
      <c r="AL27" s="50">
        <f ca="1"/>
        <v>0</v>
      </c>
      <c r="AM27" s="50">
        <f ca="1"/>
        <v>0</v>
      </c>
      <c r="AN27" s="111">
        <f t="shared" ca="1" si="0"/>
        <v>0</v>
      </c>
      <c r="AO27" s="111">
        <f t="shared" ca="1" si="0"/>
        <v>0</v>
      </c>
      <c r="AP27" s="111">
        <f t="shared" ca="1" si="0"/>
        <v>0</v>
      </c>
      <c r="AQ27" s="111">
        <f t="shared" ca="1" si="0"/>
        <v>0</v>
      </c>
    </row>
    <row r="28" spans="2:43" ht="13.5" customHeight="1">
      <c r="B28" s="1"/>
      <c r="E28" s="3"/>
      <c r="F28" s="3"/>
      <c r="G28" s="3"/>
      <c r="M28" s="62">
        <f ca="1">P18</f>
        <v>0.80650218589023326</v>
      </c>
      <c r="N28" s="63">
        <f ca="1">P19</f>
        <v>0.80650218589023326</v>
      </c>
      <c r="O28" s="70">
        <f ca="1">P20</f>
        <v>0.99624385186860698</v>
      </c>
      <c r="P28" s="64">
        <f ca="1">P21</f>
        <v>0.99624385186860698</v>
      </c>
      <c r="S28" s="50">
        <v>0.95132317912007525</v>
      </c>
      <c r="T28" s="50">
        <v>0.93593864866758181</v>
      </c>
      <c r="U28" s="50">
        <v>0.91100500401536755</v>
      </c>
      <c r="V28" s="50">
        <v>0.97373266517634416</v>
      </c>
      <c r="W28" s="50">
        <v>0.86119877012914481</v>
      </c>
      <c r="X28" s="50">
        <v>0.86119877012914481</v>
      </c>
      <c r="Y28" s="50">
        <v>0.95924972994161084</v>
      </c>
      <c r="Z28" s="50">
        <v>0.95924972994161084</v>
      </c>
      <c r="AE28" s="129"/>
      <c r="AG28" s="127"/>
      <c r="AI28" s="53">
        <f t="shared" si="1"/>
        <v>0.48000000000000015</v>
      </c>
      <c r="AJ28" s="50">
        <f ca="1"/>
        <v>0</v>
      </c>
      <c r="AK28" s="50">
        <f ca="1"/>
        <v>0</v>
      </c>
      <c r="AL28" s="50">
        <f ca="1"/>
        <v>0</v>
      </c>
      <c r="AM28" s="50">
        <f ca="1"/>
        <v>0</v>
      </c>
      <c r="AN28" s="111">
        <f t="shared" ca="1" si="0"/>
        <v>0</v>
      </c>
      <c r="AO28" s="111">
        <f t="shared" ca="1" si="0"/>
        <v>0</v>
      </c>
      <c r="AP28" s="111">
        <f t="shared" ca="1" si="0"/>
        <v>0</v>
      </c>
      <c r="AQ28" s="111">
        <f t="shared" ca="1" si="0"/>
        <v>0</v>
      </c>
    </row>
    <row r="29" spans="2:43" ht="13.5" customHeight="1">
      <c r="B29" s="307" t="str">
        <f>CONCATENATE("RR Simulation Results (N=",COUNT(U23:U50013),")")</f>
        <v>RR Simulation Results (N=1000)</v>
      </c>
      <c r="C29" s="307"/>
      <c r="D29" s="307"/>
      <c r="E29" s="307"/>
      <c r="F29" s="307"/>
      <c r="G29" s="307"/>
      <c r="I29" s="307" t="str">
        <f>CONCATENATE("OR Simulation Results (N=",COUNT(V23:V50013),")")</f>
        <v>OR Simulation Results (N=1000)</v>
      </c>
      <c r="J29" s="307"/>
      <c r="K29" s="307"/>
      <c r="L29" s="307"/>
      <c r="M29" s="307"/>
      <c r="N29" s="307"/>
      <c r="O29" s="1"/>
      <c r="P29" s="308" t="s">
        <v>182</v>
      </c>
      <c r="S29" s="50">
        <v>0.95781048556889603</v>
      </c>
      <c r="T29" s="50">
        <v>0.94435062446895912</v>
      </c>
      <c r="U29" s="50">
        <v>0.99963461343500115</v>
      </c>
      <c r="V29" s="50">
        <v>0.96238445030552011</v>
      </c>
      <c r="W29" s="50">
        <v>0.82062251158088095</v>
      </c>
      <c r="X29" s="50">
        <v>0.82062251158088095</v>
      </c>
      <c r="Y29" s="50">
        <v>0.97652176344196595</v>
      </c>
      <c r="Z29" s="50">
        <v>0.97652176344196595</v>
      </c>
      <c r="AE29" s="129"/>
      <c r="AG29" s="127"/>
      <c r="AI29" s="53">
        <f t="shared" si="1"/>
        <v>0.50000000000000011</v>
      </c>
      <c r="AJ29" s="50">
        <f ca="1"/>
        <v>0</v>
      </c>
      <c r="AK29" s="50">
        <f ca="1"/>
        <v>0</v>
      </c>
      <c r="AL29" s="50">
        <f ca="1"/>
        <v>0</v>
      </c>
      <c r="AM29" s="50">
        <f ca="1"/>
        <v>0</v>
      </c>
      <c r="AN29" s="111">
        <f t="shared" ca="1" si="0"/>
        <v>0</v>
      </c>
      <c r="AO29" s="111">
        <f t="shared" ca="1" si="0"/>
        <v>0</v>
      </c>
      <c r="AP29" s="111">
        <f t="shared" ca="1" si="0"/>
        <v>0</v>
      </c>
      <c r="AQ29" s="111">
        <f t="shared" ca="1" si="0"/>
        <v>0</v>
      </c>
    </row>
    <row r="30" spans="2:43" ht="13.5" customHeight="1">
      <c r="B30" s="35" t="s">
        <v>68</v>
      </c>
      <c r="C30" s="307" t="s">
        <v>69</v>
      </c>
      <c r="D30" s="307"/>
      <c r="E30" s="307"/>
      <c r="F30" s="307"/>
      <c r="G30" s="307"/>
      <c r="I30" s="35" t="s">
        <v>68</v>
      </c>
      <c r="J30" s="307" t="s">
        <v>69</v>
      </c>
      <c r="K30" s="307"/>
      <c r="L30" s="307"/>
      <c r="M30" s="307"/>
      <c r="N30" s="307"/>
      <c r="P30" s="309"/>
      <c r="S30" s="50">
        <v>0.95925219834446951</v>
      </c>
      <c r="T30" s="50">
        <v>0.94620672554720009</v>
      </c>
      <c r="U30" s="50">
        <v>0.97554454678881808</v>
      </c>
      <c r="V30" s="50">
        <v>0.82831003600584652</v>
      </c>
      <c r="W30" s="50">
        <v>0.7071696806303408</v>
      </c>
      <c r="X30" s="50">
        <v>0.7071696806303408</v>
      </c>
      <c r="Y30" s="50">
        <v>0.98476948103773654</v>
      </c>
      <c r="Z30" s="50">
        <v>0.98476948103773654</v>
      </c>
      <c r="AG30" s="127"/>
      <c r="AI30" s="53">
        <f t="shared" si="1"/>
        <v>0.52000000000000013</v>
      </c>
      <c r="AJ30" s="50">
        <f ca="1"/>
        <v>0</v>
      </c>
      <c r="AK30" s="50">
        <f ca="1"/>
        <v>0</v>
      </c>
      <c r="AL30" s="50">
        <f ca="1"/>
        <v>0</v>
      </c>
      <c r="AM30" s="50">
        <f ca="1"/>
        <v>0</v>
      </c>
      <c r="AN30" s="111">
        <f t="shared" ca="1" si="0"/>
        <v>0</v>
      </c>
      <c r="AO30" s="111">
        <f t="shared" ca="1" si="0"/>
        <v>0</v>
      </c>
      <c r="AP30" s="111">
        <f t="shared" ca="1" si="0"/>
        <v>0</v>
      </c>
      <c r="AQ30" s="111">
        <f t="shared" ca="1" si="0"/>
        <v>0</v>
      </c>
    </row>
    <row r="31" spans="2:43" ht="13.5" customHeight="1">
      <c r="B31" s="1" t="s">
        <v>65</v>
      </c>
      <c r="C31" s="310" t="str">
        <f>E26</f>
        <v>0.97 (0.85 - 1.09)</v>
      </c>
      <c r="D31" s="311"/>
      <c r="E31" s="311"/>
      <c r="F31" s="311"/>
      <c r="G31" s="311"/>
      <c r="I31" s="1" t="s">
        <v>65</v>
      </c>
      <c r="J31" s="43"/>
      <c r="K31" s="310" t="str">
        <f>E27</f>
        <v>0.95 (0.81 - 1.13)</v>
      </c>
      <c r="L31" s="311"/>
      <c r="M31" s="311"/>
      <c r="N31" s="311"/>
      <c r="P31" s="266">
        <v>0</v>
      </c>
      <c r="S31" s="50">
        <v>0.95908383616265358</v>
      </c>
      <c r="T31" s="50">
        <v>0.94601239645435675</v>
      </c>
      <c r="U31" s="50">
        <v>0.92079300084988169</v>
      </c>
      <c r="V31" s="50">
        <v>0.93153073265738984</v>
      </c>
      <c r="W31" s="50">
        <v>0.85732982252350365</v>
      </c>
      <c r="X31" s="50">
        <v>0.85732982252350365</v>
      </c>
      <c r="Y31" s="50">
        <v>0.97959469845393699</v>
      </c>
      <c r="Z31" s="50">
        <v>0.97959469845393699</v>
      </c>
      <c r="AG31" s="127"/>
      <c r="AI31" s="53">
        <f>AI30+0.02</f>
        <v>0.54000000000000015</v>
      </c>
      <c r="AJ31" s="50">
        <f ca="1"/>
        <v>0</v>
      </c>
      <c r="AK31" s="50">
        <f ca="1"/>
        <v>0</v>
      </c>
      <c r="AL31" s="50">
        <f ca="1"/>
        <v>0</v>
      </c>
      <c r="AM31" s="50">
        <f ca="1"/>
        <v>0</v>
      </c>
      <c r="AN31" s="111">
        <f t="shared" ca="1" si="0"/>
        <v>0</v>
      </c>
      <c r="AO31" s="111">
        <f t="shared" ca="1" si="0"/>
        <v>0</v>
      </c>
      <c r="AP31" s="111">
        <f t="shared" ca="1" si="0"/>
        <v>0</v>
      </c>
      <c r="AQ31" s="111">
        <f t="shared" ca="1" si="0"/>
        <v>0</v>
      </c>
    </row>
    <row r="32" spans="2:43" ht="13.5" customHeight="1">
      <c r="B32" s="1" t="s">
        <v>66</v>
      </c>
      <c r="C32" s="298" t="str">
        <f>IF(COUNTA(S23:S400000)&gt;0,CONCATENATE(ROUND(PERCENTILE(S23:S50014,0.5),2)," (",ROUND(PERCENTILE(S23:S50014,0.025),2)," - ",ROUND(PERCENTILE(S23:S50014,0.975),2),")"),"")</f>
        <v>0.96 (0.95 - 0.96)</v>
      </c>
      <c r="D32" s="298"/>
      <c r="E32" s="298"/>
      <c r="F32" s="298"/>
      <c r="G32" s="298"/>
      <c r="I32" s="1" t="s">
        <v>66</v>
      </c>
      <c r="J32" s="43"/>
      <c r="K32" s="298" t="str">
        <f>IF(COUNTA(T23:T400000)&gt;0,CONCATENATE(ROUND(PERCENTILE(T23:T50014,0.5),2)," (",ROUND(PERCENTILE(T23:T50014,0.025),2)," - ",ROUND(PERCENTILE(T23:T50014,0.975),2),")"),"")</f>
        <v>0.95 (0.93 - 0.95)</v>
      </c>
      <c r="L32" s="298"/>
      <c r="M32" s="298"/>
      <c r="N32" s="298"/>
      <c r="P32" s="267"/>
      <c r="S32" s="50">
        <v>0.9580983693871522</v>
      </c>
      <c r="T32" s="50">
        <v>0.94473178947675895</v>
      </c>
      <c r="U32" s="50">
        <v>0.99069785869066418</v>
      </c>
      <c r="V32" s="50">
        <v>0.97453453541655566</v>
      </c>
      <c r="W32" s="50">
        <v>0.86900409600665174</v>
      </c>
      <c r="X32" s="50">
        <v>0.86900409600665174</v>
      </c>
      <c r="Y32" s="50">
        <v>0.97628685621514555</v>
      </c>
      <c r="Z32" s="50">
        <v>0.97628685621514555</v>
      </c>
      <c r="AB32" s="127"/>
      <c r="AC32" s="127"/>
      <c r="AD32" s="127"/>
      <c r="AG32" s="127"/>
      <c r="AI32" s="53">
        <f t="shared" si="1"/>
        <v>0.56000000000000016</v>
      </c>
      <c r="AJ32" s="50">
        <f ca="1"/>
        <v>0</v>
      </c>
      <c r="AK32" s="50">
        <f ca="1"/>
        <v>0</v>
      </c>
      <c r="AL32" s="50">
        <f ca="1"/>
        <v>0</v>
      </c>
      <c r="AM32" s="50">
        <f ca="1"/>
        <v>0</v>
      </c>
      <c r="AN32" s="111">
        <f t="shared" ca="1" si="0"/>
        <v>0</v>
      </c>
      <c r="AO32" s="111">
        <f t="shared" ca="1" si="0"/>
        <v>0</v>
      </c>
      <c r="AP32" s="111">
        <f t="shared" ca="1" si="0"/>
        <v>0</v>
      </c>
      <c r="AQ32" s="111">
        <f t="shared" ca="1" si="0"/>
        <v>0</v>
      </c>
    </row>
    <row r="33" spans="2:43" ht="13">
      <c r="B33" s="9" t="s">
        <v>67</v>
      </c>
      <c r="C33" s="299" t="str">
        <f>IF(COUNTA(U23:U400000)&gt;0,CONCATENATE(ROUND(PERCENTILE(U23:U50014,0.5),2)," (",ROUND(PERCENTILE(U23:U50014,0.025),2)," - ",ROUND(PERCENTILE(U23:U50014,0.975),2),")"),"")</f>
        <v>0.96 (0.82 - 1.1)</v>
      </c>
      <c r="D33" s="299"/>
      <c r="E33" s="299"/>
      <c r="F33" s="299"/>
      <c r="G33" s="299"/>
      <c r="I33" s="9" t="s">
        <v>67</v>
      </c>
      <c r="J33" s="59"/>
      <c r="K33" s="299" t="str">
        <f>IF(COUNTA(V23:V400000)&gt;0,CONCATENATE(ROUND(PERCENTILE(V23:V50014,0.5),2)," (",ROUND(PERCENTILE(V23:V50014,0.025),2)," - ",ROUND(PERCENTILE(V23:V50014,0.975),2),")"),"")</f>
        <v>0.95 (0.78 - 1.14)</v>
      </c>
      <c r="L33" s="299"/>
      <c r="M33" s="299"/>
      <c r="N33" s="299"/>
      <c r="O33" s="106"/>
      <c r="P33" s="268"/>
      <c r="S33" s="50">
        <v>0.9645728407603601</v>
      </c>
      <c r="T33" s="50">
        <v>0.95317647389529159</v>
      </c>
      <c r="U33" s="50">
        <v>0.97787458391235205</v>
      </c>
      <c r="V33" s="50">
        <v>0.85425255683710877</v>
      </c>
      <c r="W33" s="50">
        <v>0.92527338038432805</v>
      </c>
      <c r="X33" s="50">
        <v>0.92527338038432805</v>
      </c>
      <c r="Y33" s="50">
        <v>0.99829097047358806</v>
      </c>
      <c r="Z33" s="50">
        <v>0.99829097047358806</v>
      </c>
      <c r="AB33" s="127"/>
      <c r="AC33" s="127"/>
      <c r="AD33" s="127"/>
      <c r="AE33" s="127"/>
      <c r="AG33" s="127"/>
      <c r="AI33" s="53">
        <f t="shared" si="1"/>
        <v>0.58000000000000018</v>
      </c>
      <c r="AJ33" s="50">
        <f ca="1"/>
        <v>0</v>
      </c>
      <c r="AK33" s="50">
        <f ca="1"/>
        <v>0</v>
      </c>
      <c r="AL33" s="50">
        <f ca="1"/>
        <v>0</v>
      </c>
      <c r="AM33" s="50">
        <f ca="1"/>
        <v>0</v>
      </c>
      <c r="AN33" s="111">
        <f t="shared" ca="1" si="0"/>
        <v>0</v>
      </c>
      <c r="AO33" s="111">
        <f t="shared" ca="1" si="0"/>
        <v>0</v>
      </c>
      <c r="AP33" s="111">
        <f t="shared" ca="1" si="0"/>
        <v>0</v>
      </c>
      <c r="AQ33" s="111">
        <f t="shared" ca="1" si="0"/>
        <v>0</v>
      </c>
    </row>
    <row r="34" spans="2:43" ht="5.25" customHeight="1">
      <c r="I34" s="32">
        <f ca="1">IF(J18&lt;1,1,0)</f>
        <v>0</v>
      </c>
      <c r="J34" s="32">
        <f ca="1">IF(L18&lt;1,1,0)</f>
        <v>0</v>
      </c>
      <c r="K34" s="32">
        <f ca="1">IF(J20&lt;1,1,0)</f>
        <v>0</v>
      </c>
      <c r="L34" s="32">
        <f ca="1">IF(L20&lt;1,1,0)</f>
        <v>0</v>
      </c>
      <c r="M34" s="32">
        <f ca="1">SUM(I34:L34)</f>
        <v>0</v>
      </c>
      <c r="N34" s="31"/>
      <c r="S34" s="50">
        <v>0.95985722230566239</v>
      </c>
      <c r="T34" s="50">
        <v>0.94700205901806711</v>
      </c>
      <c r="U34" s="50">
        <v>0.95392418705480742</v>
      </c>
      <c r="V34" s="50">
        <v>1.1835414541779656</v>
      </c>
      <c r="W34" s="50">
        <v>0.74509337027282774</v>
      </c>
      <c r="X34" s="50">
        <v>0.74509337027282774</v>
      </c>
      <c r="Y34" s="50">
        <v>0.9854423259832259</v>
      </c>
      <c r="Z34" s="50">
        <v>0.9854423259832259</v>
      </c>
      <c r="AB34" s="127"/>
      <c r="AC34" s="127"/>
      <c r="AD34" s="127"/>
      <c r="AE34" s="127"/>
      <c r="AG34" s="127"/>
      <c r="AI34" s="53">
        <f t="shared" si="1"/>
        <v>0.6000000000000002</v>
      </c>
      <c r="AJ34" s="50">
        <f ca="1"/>
        <v>1</v>
      </c>
      <c r="AK34" s="50">
        <f ca="1"/>
        <v>1</v>
      </c>
      <c r="AL34" s="50">
        <f ca="1"/>
        <v>0</v>
      </c>
      <c r="AM34" s="50">
        <f ca="1"/>
        <v>0</v>
      </c>
      <c r="AN34" s="111">
        <f t="shared" ca="1" si="0"/>
        <v>9.99000999000999E-4</v>
      </c>
      <c r="AO34" s="111">
        <f t="shared" ca="1" si="0"/>
        <v>9.99000999000999E-4</v>
      </c>
      <c r="AP34" s="111">
        <f t="shared" ca="1" si="0"/>
        <v>0</v>
      </c>
      <c r="AQ34" s="111">
        <f t="shared" ca="1" si="0"/>
        <v>0</v>
      </c>
    </row>
    <row r="35" spans="2:43" ht="13">
      <c r="H35" s="303"/>
      <c r="I35" s="303"/>
      <c r="J35" s="303"/>
      <c r="L35" s="304" t="e">
        <f>#REF!+#REF!</f>
        <v>#REF!</v>
      </c>
      <c r="M35" s="304"/>
      <c r="N35" s="304"/>
      <c r="O35" s="304"/>
      <c r="Q35" s="1"/>
      <c r="R35" s="1"/>
      <c r="S35" s="50">
        <v>0.96394880724540855</v>
      </c>
      <c r="T35" s="50">
        <v>0.95235171409787089</v>
      </c>
      <c r="U35" s="50">
        <v>1.0742600860221776</v>
      </c>
      <c r="V35" s="50">
        <v>1.0201417832039577</v>
      </c>
      <c r="W35" s="50">
        <v>0.83531822320611282</v>
      </c>
      <c r="X35" s="50">
        <v>0.83531822320611282</v>
      </c>
      <c r="Y35" s="50">
        <v>0.99828671936198843</v>
      </c>
      <c r="Z35" s="50">
        <v>0.99828671936198843</v>
      </c>
      <c r="AB35" s="127"/>
      <c r="AC35" s="127"/>
      <c r="AD35" s="127"/>
      <c r="AE35" s="127"/>
      <c r="AF35" s="130"/>
      <c r="AG35" s="127"/>
      <c r="AI35" s="53">
        <f t="shared" si="1"/>
        <v>0.62000000000000022</v>
      </c>
      <c r="AJ35" s="50">
        <f ca="1"/>
        <v>1</v>
      </c>
      <c r="AK35" s="50">
        <f ca="1"/>
        <v>1</v>
      </c>
      <c r="AL35" s="50">
        <f ca="1"/>
        <v>0</v>
      </c>
      <c r="AM35" s="50">
        <f ca="1"/>
        <v>0</v>
      </c>
      <c r="AN35" s="111">
        <f t="shared" ca="1" si="0"/>
        <v>9.99000999000999E-4</v>
      </c>
      <c r="AO35" s="111">
        <f t="shared" ca="1" si="0"/>
        <v>9.99000999000999E-4</v>
      </c>
      <c r="AP35" s="111">
        <f t="shared" ca="1" si="0"/>
        <v>0</v>
      </c>
      <c r="AQ35" s="111">
        <f t="shared" ca="1" si="0"/>
        <v>0</v>
      </c>
    </row>
    <row r="36" spans="2:43" ht="13">
      <c r="H36" s="32"/>
      <c r="I36" s="32"/>
      <c r="J36" s="32"/>
      <c r="L36" s="69"/>
      <c r="M36" s="69"/>
      <c r="N36" s="69"/>
      <c r="O36" s="69"/>
      <c r="S36" s="50">
        <v>0.96386834087374496</v>
      </c>
      <c r="T36" s="50">
        <v>0.95224236398966999</v>
      </c>
      <c r="U36" s="50">
        <v>0.95355300834545831</v>
      </c>
      <c r="V36" s="50">
        <v>1.0085955801159281</v>
      </c>
      <c r="W36" s="50">
        <v>0.80251971158531543</v>
      </c>
      <c r="X36" s="50">
        <v>0.80251971158531543</v>
      </c>
      <c r="Y36" s="50">
        <v>0.99910680208277158</v>
      </c>
      <c r="Z36" s="50">
        <v>0.99910680208277158</v>
      </c>
      <c r="AB36" s="127"/>
      <c r="AC36" s="127"/>
      <c r="AD36" s="127"/>
      <c r="AE36" s="127"/>
      <c r="AF36" s="130"/>
      <c r="AG36" s="127"/>
      <c r="AI36" s="53">
        <f t="shared" si="1"/>
        <v>0.64000000000000024</v>
      </c>
      <c r="AJ36" s="50">
        <f ca="1"/>
        <v>4</v>
      </c>
      <c r="AK36" s="50">
        <f ca="1"/>
        <v>4</v>
      </c>
      <c r="AL36" s="50">
        <f ca="1"/>
        <v>0</v>
      </c>
      <c r="AM36" s="50">
        <f ca="1"/>
        <v>0</v>
      </c>
      <c r="AN36" s="111">
        <f t="shared" ref="AN36:AQ54" ca="1" si="3">AJ36/AJ$55</f>
        <v>3.996003996003996E-3</v>
      </c>
      <c r="AO36" s="111">
        <f t="shared" ca="1" si="3"/>
        <v>3.996003996003996E-3</v>
      </c>
      <c r="AP36" s="111">
        <f t="shared" ca="1" si="3"/>
        <v>0</v>
      </c>
      <c r="AQ36" s="111">
        <f t="shared" ca="1" si="3"/>
        <v>0</v>
      </c>
    </row>
    <row r="37" spans="2:43" ht="13">
      <c r="H37" s="32"/>
      <c r="I37" s="32"/>
      <c r="J37" s="32"/>
      <c r="L37" s="69"/>
      <c r="M37" s="69"/>
      <c r="N37" s="69"/>
      <c r="O37" s="69"/>
      <c r="Q37" s="23"/>
      <c r="R37" s="23"/>
      <c r="S37" s="50">
        <v>0.96034825283564695</v>
      </c>
      <c r="T37" s="50">
        <v>0.94764759295481271</v>
      </c>
      <c r="U37" s="50">
        <v>0.96820957855450018</v>
      </c>
      <c r="V37" s="50">
        <v>0.92660125182173358</v>
      </c>
      <c r="W37" s="50">
        <v>0.77957051257178822</v>
      </c>
      <c r="X37" s="50">
        <v>0.77957051257178822</v>
      </c>
      <c r="Y37" s="50">
        <v>0.98599904680814143</v>
      </c>
      <c r="Z37" s="50">
        <v>0.98599904680814143</v>
      </c>
      <c r="AB37" s="127"/>
      <c r="AC37" s="127"/>
      <c r="AD37" s="127"/>
      <c r="AE37" s="127"/>
      <c r="AF37" s="130"/>
      <c r="AG37" s="127"/>
      <c r="AI37" s="53">
        <f t="shared" si="1"/>
        <v>0.66000000000000025</v>
      </c>
      <c r="AJ37" s="50">
        <f ca="1"/>
        <v>5</v>
      </c>
      <c r="AK37" s="50">
        <f ca="1"/>
        <v>5</v>
      </c>
      <c r="AL37" s="50">
        <f ca="1"/>
        <v>0</v>
      </c>
      <c r="AM37" s="50">
        <f ca="1"/>
        <v>0</v>
      </c>
      <c r="AN37" s="111">
        <f t="shared" ca="1" si="3"/>
        <v>4.995004995004995E-3</v>
      </c>
      <c r="AO37" s="111">
        <f t="shared" ca="1" si="3"/>
        <v>4.995004995004995E-3</v>
      </c>
      <c r="AP37" s="111">
        <f t="shared" ca="1" si="3"/>
        <v>0</v>
      </c>
      <c r="AQ37" s="111">
        <f t="shared" ca="1" si="3"/>
        <v>0</v>
      </c>
    </row>
    <row r="38" spans="2:43" ht="13">
      <c r="H38" s="32"/>
      <c r="I38" s="32"/>
      <c r="J38" s="32"/>
      <c r="L38" s="69"/>
      <c r="M38" s="69"/>
      <c r="N38" s="69"/>
      <c r="O38" s="69"/>
      <c r="Q38" s="23"/>
      <c r="R38" s="23"/>
      <c r="S38" s="50">
        <v>0.96191828672357849</v>
      </c>
      <c r="T38" s="50">
        <v>0.94969664503657492</v>
      </c>
      <c r="U38" s="50">
        <v>0.93867553639310353</v>
      </c>
      <c r="V38" s="50">
        <v>0.93613550504055443</v>
      </c>
      <c r="W38" s="50">
        <v>0.79599587865941346</v>
      </c>
      <c r="X38" s="50">
        <v>0.79599587865941346</v>
      </c>
      <c r="Y38" s="50">
        <v>0.99129112657273954</v>
      </c>
      <c r="Z38" s="50">
        <v>0.99129112657273954</v>
      </c>
      <c r="AB38" s="127"/>
      <c r="AC38" s="127"/>
      <c r="AD38" s="127"/>
      <c r="AE38" s="127"/>
      <c r="AF38" s="130"/>
      <c r="AG38" s="127"/>
      <c r="AI38" s="53">
        <f t="shared" si="1"/>
        <v>0.68000000000000027</v>
      </c>
      <c r="AJ38" s="50">
        <f ca="1"/>
        <v>17</v>
      </c>
      <c r="AK38" s="50">
        <f ca="1"/>
        <v>17</v>
      </c>
      <c r="AL38" s="50">
        <f ca="1"/>
        <v>0</v>
      </c>
      <c r="AM38" s="50">
        <f ca="1"/>
        <v>0</v>
      </c>
      <c r="AN38" s="111">
        <f t="shared" ca="1" si="3"/>
        <v>1.6983016983016984E-2</v>
      </c>
      <c r="AO38" s="111">
        <f t="shared" ca="1" si="3"/>
        <v>1.6983016983016984E-2</v>
      </c>
      <c r="AP38" s="111">
        <f t="shared" ca="1" si="3"/>
        <v>0</v>
      </c>
      <c r="AQ38" s="111">
        <f t="shared" ca="1" si="3"/>
        <v>0</v>
      </c>
    </row>
    <row r="39" spans="2:43" ht="13">
      <c r="H39" s="32"/>
      <c r="I39" s="32"/>
      <c r="J39" s="32"/>
      <c r="L39" s="69"/>
      <c r="M39" s="69"/>
      <c r="N39" s="69"/>
      <c r="O39" s="69"/>
      <c r="S39" s="50">
        <v>0.95983866066539625</v>
      </c>
      <c r="T39" s="50">
        <v>0.94696503633396212</v>
      </c>
      <c r="U39" s="50">
        <v>0.96204329051476722</v>
      </c>
      <c r="V39" s="50">
        <v>0.94413893508284152</v>
      </c>
      <c r="W39" s="50">
        <v>0.68149708372577034</v>
      </c>
      <c r="X39" s="50">
        <v>0.68149708372577034</v>
      </c>
      <c r="Y39" s="50">
        <v>0.9879927033649466</v>
      </c>
      <c r="Z39" s="50">
        <v>0.9879927033649466</v>
      </c>
      <c r="AB39" s="127"/>
      <c r="AC39" s="127"/>
      <c r="AD39" s="127"/>
      <c r="AE39" s="127"/>
      <c r="AF39" s="130"/>
      <c r="AG39" s="127"/>
      <c r="AI39" s="53">
        <f t="shared" si="1"/>
        <v>0.70000000000000029</v>
      </c>
      <c r="AJ39" s="50">
        <f ca="1"/>
        <v>35</v>
      </c>
      <c r="AK39" s="50">
        <f ca="1"/>
        <v>35</v>
      </c>
      <c r="AL39" s="50">
        <f ca="1"/>
        <v>0</v>
      </c>
      <c r="AM39" s="50">
        <f ca="1"/>
        <v>0</v>
      </c>
      <c r="AN39" s="111">
        <f t="shared" ca="1" si="3"/>
        <v>3.4965034965034968E-2</v>
      </c>
      <c r="AO39" s="111">
        <f t="shared" ca="1" si="3"/>
        <v>3.4965034965034968E-2</v>
      </c>
      <c r="AP39" s="111">
        <f t="shared" ca="1" si="3"/>
        <v>0</v>
      </c>
      <c r="AQ39" s="111">
        <f t="shared" ca="1" si="3"/>
        <v>0</v>
      </c>
    </row>
    <row r="40" spans="2:43" ht="13">
      <c r="H40" s="32"/>
      <c r="I40" s="32"/>
      <c r="J40" s="32"/>
      <c r="L40" s="69"/>
      <c r="M40" s="69"/>
      <c r="N40" s="69"/>
      <c r="O40" s="69"/>
      <c r="Q40" s="1"/>
      <c r="R40" s="1"/>
      <c r="S40" s="50">
        <v>0.96454549132605649</v>
      </c>
      <c r="T40" s="50">
        <v>0.9531357221508312</v>
      </c>
      <c r="U40" s="50">
        <v>1.0099553834499508</v>
      </c>
      <c r="V40" s="50">
        <v>0.8815117590944348</v>
      </c>
      <c r="W40" s="50">
        <v>0.87611944490279547</v>
      </c>
      <c r="X40" s="50">
        <v>0.87611944490279547</v>
      </c>
      <c r="Y40" s="50">
        <v>0.99957868188763488</v>
      </c>
      <c r="Z40" s="50">
        <v>0.99957868188763488</v>
      </c>
      <c r="AB40" s="127"/>
      <c r="AC40" s="127"/>
      <c r="AD40" s="127"/>
      <c r="AE40" s="127"/>
      <c r="AF40" s="116"/>
      <c r="AI40" s="53">
        <f t="shared" si="1"/>
        <v>0.72000000000000031</v>
      </c>
      <c r="AJ40" s="50">
        <f ca="1"/>
        <v>57</v>
      </c>
      <c r="AK40" s="50">
        <f ca="1"/>
        <v>57</v>
      </c>
      <c r="AL40" s="50">
        <f ca="1"/>
        <v>0</v>
      </c>
      <c r="AM40" s="50">
        <f ca="1"/>
        <v>0</v>
      </c>
      <c r="AN40" s="111">
        <f t="shared" ca="1" si="3"/>
        <v>5.6943056943056944E-2</v>
      </c>
      <c r="AO40" s="111">
        <f t="shared" ca="1" si="3"/>
        <v>5.6943056943056944E-2</v>
      </c>
      <c r="AP40" s="111">
        <f t="shared" ca="1" si="3"/>
        <v>0</v>
      </c>
      <c r="AQ40" s="111">
        <f t="shared" ca="1" si="3"/>
        <v>0</v>
      </c>
    </row>
    <row r="41" spans="2:43" ht="13">
      <c r="H41" s="32"/>
      <c r="I41" s="32"/>
      <c r="J41" s="32"/>
      <c r="L41" s="69"/>
      <c r="M41" s="69"/>
      <c r="N41" s="69"/>
      <c r="O41" s="69"/>
      <c r="S41" s="50">
        <v>0.96188823243284594</v>
      </c>
      <c r="T41" s="50">
        <v>0.94964996704163529</v>
      </c>
      <c r="U41" s="50">
        <v>0.94072754192033026</v>
      </c>
      <c r="V41" s="50">
        <v>0.86231635004017393</v>
      </c>
      <c r="W41" s="50">
        <v>0.74867214128779447</v>
      </c>
      <c r="X41" s="50">
        <v>0.74867214128779447</v>
      </c>
      <c r="Y41" s="50">
        <v>0.99292571969232712</v>
      </c>
      <c r="Z41" s="50">
        <v>0.99292571969232712</v>
      </c>
      <c r="AF41" s="116"/>
      <c r="AI41" s="53">
        <f t="shared" si="1"/>
        <v>0.74000000000000032</v>
      </c>
      <c r="AJ41" s="50">
        <f ca="1"/>
        <v>82</v>
      </c>
      <c r="AK41" s="50">
        <f ca="1"/>
        <v>82</v>
      </c>
      <c r="AL41" s="50">
        <f ca="1"/>
        <v>0</v>
      </c>
      <c r="AM41" s="50">
        <f ca="1"/>
        <v>0</v>
      </c>
      <c r="AN41" s="111">
        <f t="shared" ca="1" si="3"/>
        <v>8.191808191808192E-2</v>
      </c>
      <c r="AO41" s="111">
        <f t="shared" ca="1" si="3"/>
        <v>8.191808191808192E-2</v>
      </c>
      <c r="AP41" s="111">
        <f t="shared" ca="1" si="3"/>
        <v>0</v>
      </c>
      <c r="AQ41" s="111">
        <f t="shared" ca="1" si="3"/>
        <v>0</v>
      </c>
    </row>
    <row r="42" spans="2:43" ht="13">
      <c r="H42" s="32"/>
      <c r="I42" s="32"/>
      <c r="J42" s="32"/>
      <c r="L42" s="69"/>
      <c r="M42" s="69"/>
      <c r="N42" s="69"/>
      <c r="O42" s="69"/>
      <c r="S42" s="50">
        <v>0.96207048021847974</v>
      </c>
      <c r="T42" s="50">
        <v>0.94989662598398716</v>
      </c>
      <c r="U42" s="50">
        <v>1.0089956367319899</v>
      </c>
      <c r="V42" s="50">
        <v>0.88956947190200886</v>
      </c>
      <c r="W42" s="50">
        <v>0.80633501783087957</v>
      </c>
      <c r="X42" s="50">
        <v>0.80633501783087957</v>
      </c>
      <c r="Y42" s="50">
        <v>0.99153703749268152</v>
      </c>
      <c r="Z42" s="50">
        <v>0.99153703749268152</v>
      </c>
      <c r="AF42" s="116"/>
      <c r="AI42" s="53">
        <f t="shared" si="1"/>
        <v>0.76000000000000034</v>
      </c>
      <c r="AJ42" s="50">
        <f ca="1"/>
        <v>143</v>
      </c>
      <c r="AK42" s="50">
        <f ca="1"/>
        <v>143</v>
      </c>
      <c r="AL42" s="50">
        <f ca="1"/>
        <v>0</v>
      </c>
      <c r="AM42" s="50">
        <f ca="1"/>
        <v>0</v>
      </c>
      <c r="AN42" s="111">
        <f t="shared" ca="1" si="3"/>
        <v>0.14285714285714285</v>
      </c>
      <c r="AO42" s="111">
        <f t="shared" ca="1" si="3"/>
        <v>0.14285714285714285</v>
      </c>
      <c r="AP42" s="111">
        <f t="shared" ca="1" si="3"/>
        <v>0</v>
      </c>
      <c r="AQ42" s="111">
        <f t="shared" ca="1" si="3"/>
        <v>0</v>
      </c>
    </row>
    <row r="43" spans="2:43" ht="13">
      <c r="H43" s="32"/>
      <c r="I43" s="32"/>
      <c r="J43" s="32"/>
      <c r="L43" s="69"/>
      <c r="M43" s="69"/>
      <c r="N43" s="69"/>
      <c r="O43" s="69"/>
      <c r="S43" s="50">
        <v>0.96320272865788303</v>
      </c>
      <c r="T43" s="50">
        <v>0.95136131148849257</v>
      </c>
      <c r="U43" s="50">
        <v>1.0009300070353113</v>
      </c>
      <c r="V43" s="50">
        <v>1.004489521270342</v>
      </c>
      <c r="W43" s="50">
        <v>0.72580679000153991</v>
      </c>
      <c r="X43" s="50">
        <v>0.72580679000153991</v>
      </c>
      <c r="Y43" s="50">
        <v>0.99945030865957674</v>
      </c>
      <c r="Z43" s="50">
        <v>0.99945030865957674</v>
      </c>
      <c r="AF43" s="116"/>
      <c r="AI43" s="53">
        <f t="shared" si="1"/>
        <v>0.78000000000000036</v>
      </c>
      <c r="AJ43" s="50">
        <f ca="1"/>
        <v>167</v>
      </c>
      <c r="AK43" s="50">
        <f ca="1"/>
        <v>167</v>
      </c>
      <c r="AL43" s="50">
        <f ca="1"/>
        <v>0</v>
      </c>
      <c r="AM43" s="50">
        <f ca="1"/>
        <v>0</v>
      </c>
      <c r="AN43" s="111">
        <f t="shared" ca="1" si="3"/>
        <v>0.16683316683316685</v>
      </c>
      <c r="AO43" s="111">
        <f t="shared" ca="1" si="3"/>
        <v>0.16683316683316685</v>
      </c>
      <c r="AP43" s="111">
        <f t="shared" ca="1" si="3"/>
        <v>0</v>
      </c>
      <c r="AQ43" s="111">
        <f t="shared" ca="1" si="3"/>
        <v>0</v>
      </c>
    </row>
    <row r="44" spans="2:43" ht="13">
      <c r="H44" s="32"/>
      <c r="I44" s="32"/>
      <c r="J44" s="32"/>
      <c r="L44" s="69"/>
      <c r="M44" s="69"/>
      <c r="N44" s="69"/>
      <c r="O44" s="69"/>
      <c r="S44" s="50">
        <v>0.96415158680321067</v>
      </c>
      <c r="T44" s="50">
        <v>0.95262220592721769</v>
      </c>
      <c r="U44" s="50">
        <v>1.0164698126031027</v>
      </c>
      <c r="V44" s="50">
        <v>1.0352013017577928</v>
      </c>
      <c r="W44" s="50">
        <v>0.88460900114327157</v>
      </c>
      <c r="X44" s="50">
        <v>0.88460900114327157</v>
      </c>
      <c r="Y44" s="50">
        <v>0.99761048748164072</v>
      </c>
      <c r="Z44" s="50">
        <v>0.99761048748164072</v>
      </c>
      <c r="AF44" s="116"/>
      <c r="AI44" s="53">
        <f t="shared" si="1"/>
        <v>0.80000000000000038</v>
      </c>
      <c r="AJ44" s="50">
        <f ca="1"/>
        <v>148</v>
      </c>
      <c r="AK44" s="50">
        <f ca="1"/>
        <v>148</v>
      </c>
      <c r="AL44" s="50">
        <f ca="1"/>
        <v>0</v>
      </c>
      <c r="AM44" s="50">
        <f ca="1"/>
        <v>0</v>
      </c>
      <c r="AN44" s="111">
        <f t="shared" ca="1" si="3"/>
        <v>0.14785214785214784</v>
      </c>
      <c r="AO44" s="111">
        <f t="shared" ca="1" si="3"/>
        <v>0.14785214785214784</v>
      </c>
      <c r="AP44" s="111">
        <f t="shared" ca="1" si="3"/>
        <v>0</v>
      </c>
      <c r="AQ44" s="111">
        <f t="shared" ca="1" si="3"/>
        <v>0</v>
      </c>
    </row>
    <row r="45" spans="2:43" ht="13">
      <c r="H45" s="32"/>
      <c r="I45" s="32"/>
      <c r="J45" s="32"/>
      <c r="L45" s="69"/>
      <c r="M45" s="69"/>
      <c r="N45" s="69"/>
      <c r="O45" s="69"/>
      <c r="S45" s="50">
        <v>0.9491119402683007</v>
      </c>
      <c r="T45" s="50">
        <v>0.93306221253003174</v>
      </c>
      <c r="U45" s="50">
        <v>0.8926037313503008</v>
      </c>
      <c r="V45" s="50">
        <v>0.75792292503250658</v>
      </c>
      <c r="W45" s="50">
        <v>0.77526144444715561</v>
      </c>
      <c r="X45" s="50">
        <v>0.77526144444715561</v>
      </c>
      <c r="Y45" s="50">
        <v>0.95611746519627594</v>
      </c>
      <c r="Z45" s="50">
        <v>0.95611746519627594</v>
      </c>
      <c r="AF45" s="116"/>
      <c r="AI45" s="53">
        <f t="shared" si="1"/>
        <v>0.8200000000000004</v>
      </c>
      <c r="AJ45" s="50">
        <f ca="1"/>
        <v>126</v>
      </c>
      <c r="AK45" s="50">
        <f ca="1"/>
        <v>126</v>
      </c>
      <c r="AL45" s="50">
        <f ca="1"/>
        <v>0</v>
      </c>
      <c r="AM45" s="50">
        <f ca="1"/>
        <v>0</v>
      </c>
      <c r="AN45" s="111">
        <f t="shared" ca="1" si="3"/>
        <v>0.12587412587412589</v>
      </c>
      <c r="AO45" s="111">
        <f t="shared" ca="1" si="3"/>
        <v>0.12587412587412589</v>
      </c>
      <c r="AP45" s="111">
        <f t="shared" ca="1" si="3"/>
        <v>0</v>
      </c>
      <c r="AQ45" s="111">
        <f t="shared" ca="1" si="3"/>
        <v>0</v>
      </c>
    </row>
    <row r="46" spans="2:43" ht="13">
      <c r="B46" s="21" t="s">
        <v>9</v>
      </c>
      <c r="C46" s="21"/>
      <c r="D46" s="21"/>
      <c r="E46" s="21"/>
      <c r="F46" s="21"/>
      <c r="G46" s="21"/>
      <c r="H46" s="21"/>
      <c r="I46" s="21"/>
      <c r="J46" s="21"/>
      <c r="K46" s="21"/>
      <c r="L46" s="21"/>
      <c r="M46" s="21"/>
      <c r="N46" s="21"/>
      <c r="O46" s="21"/>
      <c r="P46" s="21"/>
      <c r="S46" s="50">
        <v>0.96001699194220014</v>
      </c>
      <c r="T46" s="50">
        <v>0.94721805499674538</v>
      </c>
      <c r="U46" s="50">
        <v>0.89492547672237444</v>
      </c>
      <c r="V46" s="50">
        <v>0.8418467784203979</v>
      </c>
      <c r="W46" s="50">
        <v>0.79217290483653913</v>
      </c>
      <c r="X46" s="50">
        <v>0.79217290483653913</v>
      </c>
      <c r="Y46" s="50">
        <v>0.98443631485089178</v>
      </c>
      <c r="Z46" s="50">
        <v>0.98443631485089178</v>
      </c>
      <c r="AI46" s="53">
        <f>AI45+0.02</f>
        <v>0.84000000000000041</v>
      </c>
      <c r="AJ46" s="50">
        <f ca="1"/>
        <v>95</v>
      </c>
      <c r="AK46" s="50">
        <f ca="1"/>
        <v>95</v>
      </c>
      <c r="AL46" s="50">
        <f ca="1"/>
        <v>0</v>
      </c>
      <c r="AM46" s="50">
        <f ca="1"/>
        <v>0</v>
      </c>
      <c r="AN46" s="111">
        <f t="shared" ca="1" si="3"/>
        <v>9.4905094905094911E-2</v>
      </c>
      <c r="AO46" s="111">
        <f t="shared" ca="1" si="3"/>
        <v>9.4905094905094911E-2</v>
      </c>
      <c r="AP46" s="111">
        <f t="shared" ca="1" si="3"/>
        <v>0</v>
      </c>
      <c r="AQ46" s="111">
        <f t="shared" ca="1" si="3"/>
        <v>0</v>
      </c>
    </row>
    <row r="47" spans="2:43" ht="13">
      <c r="B47" s="305"/>
      <c r="C47" s="305"/>
      <c r="D47" s="305"/>
      <c r="E47" s="305"/>
      <c r="F47" s="305"/>
      <c r="G47" s="305"/>
      <c r="H47" s="305"/>
      <c r="I47" s="305"/>
      <c r="J47" s="305"/>
      <c r="K47" s="305"/>
      <c r="L47" s="305"/>
      <c r="M47" s="305"/>
      <c r="N47" s="305"/>
      <c r="O47" s="305"/>
      <c r="P47" s="305"/>
      <c r="S47" s="50">
        <v>0.95734937048381241</v>
      </c>
      <c r="T47" s="50">
        <v>0.94373951099501197</v>
      </c>
      <c r="U47" s="50">
        <v>0.91129650722005584</v>
      </c>
      <c r="V47" s="50">
        <v>0.95717935224463024</v>
      </c>
      <c r="W47" s="50">
        <v>0.75214824188101004</v>
      </c>
      <c r="X47" s="50">
        <v>0.75214824188101004</v>
      </c>
      <c r="Y47" s="50">
        <v>0.97698851109081974</v>
      </c>
      <c r="Z47" s="50">
        <v>0.97698851109081974</v>
      </c>
      <c r="AI47" s="53">
        <f t="shared" si="1"/>
        <v>0.86000000000000043</v>
      </c>
      <c r="AJ47" s="50">
        <f ca="1"/>
        <v>65</v>
      </c>
      <c r="AK47" s="50">
        <f ca="1"/>
        <v>65</v>
      </c>
      <c r="AL47" s="50">
        <f ca="1"/>
        <v>0</v>
      </c>
      <c r="AM47" s="50">
        <f ca="1"/>
        <v>0</v>
      </c>
      <c r="AN47" s="111">
        <f t="shared" ca="1" si="3"/>
        <v>6.4935064935064929E-2</v>
      </c>
      <c r="AO47" s="111">
        <f t="shared" ca="1" si="3"/>
        <v>6.4935064935064929E-2</v>
      </c>
      <c r="AP47" s="111">
        <f t="shared" ca="1" si="3"/>
        <v>0</v>
      </c>
      <c r="AQ47" s="111">
        <f t="shared" ca="1" si="3"/>
        <v>0</v>
      </c>
    </row>
    <row r="48" spans="2:43">
      <c r="B48" s="300"/>
      <c r="C48" s="300"/>
      <c r="D48" s="300"/>
      <c r="E48" s="300"/>
      <c r="F48" s="300"/>
      <c r="G48" s="300"/>
      <c r="H48" s="300"/>
      <c r="I48" s="300"/>
      <c r="J48" s="300"/>
      <c r="K48" s="300"/>
      <c r="L48" s="300"/>
      <c r="M48" s="300"/>
      <c r="N48" s="300"/>
      <c r="O48" s="300"/>
      <c r="P48" s="300"/>
      <c r="S48" s="50">
        <v>0.9632245422121174</v>
      </c>
      <c r="T48" s="50">
        <v>0.9513967495677248</v>
      </c>
      <c r="U48" s="50">
        <v>1.0340090195497249</v>
      </c>
      <c r="V48" s="50">
        <v>0.86372868174446604</v>
      </c>
      <c r="W48" s="50">
        <v>0.76774714932404609</v>
      </c>
      <c r="X48" s="50">
        <v>0.76774714932404609</v>
      </c>
      <c r="Y48" s="50">
        <v>0.99767937284649144</v>
      </c>
      <c r="Z48" s="50">
        <v>0.99767937284649144</v>
      </c>
      <c r="AI48" s="53">
        <f t="shared" si="1"/>
        <v>0.88000000000000045</v>
      </c>
      <c r="AJ48" s="50">
        <f ca="1"/>
        <v>36</v>
      </c>
      <c r="AK48" s="50">
        <f ca="1"/>
        <v>36</v>
      </c>
      <c r="AL48" s="50">
        <f ca="1"/>
        <v>0</v>
      </c>
      <c r="AM48" s="50">
        <f ca="1"/>
        <v>0</v>
      </c>
      <c r="AN48" s="111">
        <f t="shared" ca="1" si="3"/>
        <v>3.5964035964035967E-2</v>
      </c>
      <c r="AO48" s="111">
        <f t="shared" ca="1" si="3"/>
        <v>3.5964035964035967E-2</v>
      </c>
      <c r="AP48" s="111">
        <f t="shared" ca="1" si="3"/>
        <v>0</v>
      </c>
      <c r="AQ48" s="111">
        <f t="shared" ca="1" si="3"/>
        <v>0</v>
      </c>
    </row>
    <row r="49" spans="2:43">
      <c r="B49" s="300"/>
      <c r="C49" s="300"/>
      <c r="D49" s="300"/>
      <c r="E49" s="300"/>
      <c r="F49" s="300"/>
      <c r="G49" s="300"/>
      <c r="H49" s="300"/>
      <c r="I49" s="300"/>
      <c r="J49" s="300"/>
      <c r="K49" s="300"/>
      <c r="L49" s="300"/>
      <c r="M49" s="300"/>
      <c r="N49" s="300"/>
      <c r="O49" s="300"/>
      <c r="P49" s="300"/>
      <c r="S49" s="50">
        <v>0.95926176683541675</v>
      </c>
      <c r="T49" s="50">
        <v>0.9462391128804587</v>
      </c>
      <c r="U49" s="50">
        <v>0.90831203227227264</v>
      </c>
      <c r="V49" s="50">
        <v>1.0103004519257501</v>
      </c>
      <c r="W49" s="50">
        <v>0.82192127520096336</v>
      </c>
      <c r="X49" s="50">
        <v>0.82192127520096336</v>
      </c>
      <c r="Y49" s="50">
        <v>0.9810470936561585</v>
      </c>
      <c r="Z49" s="50">
        <v>0.9810470936561585</v>
      </c>
      <c r="AI49" s="53">
        <f t="shared" si="1"/>
        <v>0.90000000000000047</v>
      </c>
      <c r="AJ49" s="50">
        <f ca="1"/>
        <v>15</v>
      </c>
      <c r="AK49" s="50">
        <f ca="1"/>
        <v>15</v>
      </c>
      <c r="AL49" s="50">
        <f ca="1"/>
        <v>0</v>
      </c>
      <c r="AM49" s="50">
        <f ca="1"/>
        <v>0</v>
      </c>
      <c r="AN49" s="111">
        <f t="shared" ca="1" si="3"/>
        <v>1.4985014985014986E-2</v>
      </c>
      <c r="AO49" s="111">
        <f t="shared" ca="1" si="3"/>
        <v>1.4985014985014986E-2</v>
      </c>
      <c r="AP49" s="111">
        <f t="shared" ca="1" si="3"/>
        <v>0</v>
      </c>
      <c r="AQ49" s="111">
        <f t="shared" ca="1" si="3"/>
        <v>0</v>
      </c>
    </row>
    <row r="50" spans="2:43">
      <c r="B50" s="10"/>
      <c r="C50" s="10"/>
      <c r="D50" s="10"/>
      <c r="E50" s="10"/>
      <c r="F50" s="10"/>
      <c r="G50" s="10"/>
      <c r="H50" s="10"/>
      <c r="I50" s="10"/>
      <c r="J50" s="10"/>
      <c r="K50" s="10"/>
      <c r="L50" s="10"/>
      <c r="M50" s="10"/>
      <c r="N50" s="10"/>
      <c r="O50" s="10"/>
      <c r="P50" s="10"/>
      <c r="S50" s="50">
        <v>0.96431648480119014</v>
      </c>
      <c r="T50" s="50">
        <v>0.95283296107091697</v>
      </c>
      <c r="U50" s="50">
        <v>1.0478335885069707</v>
      </c>
      <c r="V50" s="50">
        <v>0.94703394856449896</v>
      </c>
      <c r="W50" s="50">
        <v>0.84421962195790701</v>
      </c>
      <c r="X50" s="50">
        <v>0.84421962195790701</v>
      </c>
      <c r="Y50" s="50">
        <v>0.99959466831669708</v>
      </c>
      <c r="Z50" s="50">
        <v>0.99959466831669708</v>
      </c>
      <c r="AI50" s="53">
        <f t="shared" si="1"/>
        <v>0.92000000000000048</v>
      </c>
      <c r="AJ50" s="50">
        <f ca="1"/>
        <v>2</v>
      </c>
      <c r="AK50" s="50">
        <f ca="1"/>
        <v>2</v>
      </c>
      <c r="AL50" s="50">
        <f ca="1"/>
        <v>2</v>
      </c>
      <c r="AM50" s="50">
        <f ca="1"/>
        <v>2</v>
      </c>
      <c r="AN50" s="111">
        <f t="shared" ca="1" si="3"/>
        <v>1.998001998001998E-3</v>
      </c>
      <c r="AO50" s="111">
        <f t="shared" ca="1" si="3"/>
        <v>1.998001998001998E-3</v>
      </c>
      <c r="AP50" s="111">
        <f t="shared" ca="1" si="3"/>
        <v>1.998001998001998E-3</v>
      </c>
      <c r="AQ50" s="111">
        <f t="shared" ca="1" si="3"/>
        <v>1.998001998001998E-3</v>
      </c>
    </row>
    <row r="51" spans="2:43">
      <c r="I51" s="75"/>
      <c r="S51" s="50">
        <v>0.95266742777523594</v>
      </c>
      <c r="T51" s="50">
        <v>0.93764850780185582</v>
      </c>
      <c r="U51" s="50">
        <v>0.93809127586360641</v>
      </c>
      <c r="V51" s="50">
        <v>0.83035307727296981</v>
      </c>
      <c r="W51" s="50">
        <v>0.6975392519431175</v>
      </c>
      <c r="X51" s="50">
        <v>0.6975392519431175</v>
      </c>
      <c r="Y51" s="50">
        <v>0.96580745789184341</v>
      </c>
      <c r="Z51" s="50">
        <v>0.96580745789184341</v>
      </c>
      <c r="AI51" s="53">
        <f t="shared" si="1"/>
        <v>0.9400000000000005</v>
      </c>
      <c r="AJ51" s="50">
        <f ca="1"/>
        <v>2</v>
      </c>
      <c r="AK51" s="50">
        <f ca="1"/>
        <v>2</v>
      </c>
      <c r="AL51" s="50">
        <f ca="1"/>
        <v>5</v>
      </c>
      <c r="AM51" s="50">
        <f ca="1"/>
        <v>5</v>
      </c>
      <c r="AN51" s="111">
        <f t="shared" ca="1" si="3"/>
        <v>1.998001998001998E-3</v>
      </c>
      <c r="AO51" s="111">
        <f t="shared" ca="1" si="3"/>
        <v>1.998001998001998E-3</v>
      </c>
      <c r="AP51" s="111">
        <f t="shared" ca="1" si="3"/>
        <v>4.995004995004995E-3</v>
      </c>
      <c r="AQ51" s="111">
        <f t="shared" ca="1" si="3"/>
        <v>4.995004995004995E-3</v>
      </c>
    </row>
    <row r="52" spans="2:43">
      <c r="B52" s="127" t="s">
        <v>201</v>
      </c>
      <c r="I52" s="75"/>
      <c r="S52" s="50">
        <v>0.96243461551371901</v>
      </c>
      <c r="T52" s="50">
        <v>0.95036266410450088</v>
      </c>
      <c r="U52" s="50">
        <v>0.85674706189915617</v>
      </c>
      <c r="V52" s="50">
        <v>0.89713952994228641</v>
      </c>
      <c r="W52" s="50">
        <v>0.74817332779584977</v>
      </c>
      <c r="X52" s="50">
        <v>0.74817332779584977</v>
      </c>
      <c r="Y52" s="50">
        <v>0.99516412615799132</v>
      </c>
      <c r="Z52" s="50">
        <v>0.99516412615799132</v>
      </c>
      <c r="AI52" s="53">
        <f t="shared" si="1"/>
        <v>0.96000000000000052</v>
      </c>
      <c r="AJ52" s="50">
        <f ca="1"/>
        <v>0</v>
      </c>
      <c r="AK52" s="50">
        <f ca="1"/>
        <v>0</v>
      </c>
      <c r="AL52" s="50">
        <f ca="1"/>
        <v>55</v>
      </c>
      <c r="AM52" s="50">
        <f ca="1"/>
        <v>55</v>
      </c>
      <c r="AN52" s="111">
        <f t="shared" ca="1" si="3"/>
        <v>0</v>
      </c>
      <c r="AO52" s="111">
        <f t="shared" ca="1" si="3"/>
        <v>0</v>
      </c>
      <c r="AP52" s="111">
        <f t="shared" ca="1" si="3"/>
        <v>5.4945054945054944E-2</v>
      </c>
      <c r="AQ52" s="111">
        <f t="shared" ca="1" si="3"/>
        <v>5.4945054945054944E-2</v>
      </c>
    </row>
    <row r="53" spans="2:43">
      <c r="S53" s="50">
        <v>0.96130641641510539</v>
      </c>
      <c r="T53" s="50">
        <v>0.94889397530612674</v>
      </c>
      <c r="U53" s="50">
        <v>0.93274099431958157</v>
      </c>
      <c r="V53" s="50">
        <v>0.89546737604748006</v>
      </c>
      <c r="W53" s="50">
        <v>0.76487692928665929</v>
      </c>
      <c r="X53" s="50">
        <v>0.76487692928665929</v>
      </c>
      <c r="Y53" s="50">
        <v>0.99003531307547221</v>
      </c>
      <c r="Z53" s="50">
        <v>0.99003531307547221</v>
      </c>
      <c r="AI53" s="53">
        <f t="shared" si="1"/>
        <v>0.98000000000000054</v>
      </c>
      <c r="AJ53" s="50">
        <f ca="1"/>
        <v>0</v>
      </c>
      <c r="AK53" s="50">
        <f ca="1"/>
        <v>0</v>
      </c>
      <c r="AL53" s="50">
        <f ca="1"/>
        <v>206</v>
      </c>
      <c r="AM53" s="50">
        <f ca="1"/>
        <v>206</v>
      </c>
      <c r="AN53" s="111">
        <f t="shared" ca="1" si="3"/>
        <v>0</v>
      </c>
      <c r="AO53" s="111">
        <f t="shared" ca="1" si="3"/>
        <v>0</v>
      </c>
      <c r="AP53" s="111">
        <f t="shared" ca="1" si="3"/>
        <v>0.20579420579420579</v>
      </c>
      <c r="AQ53" s="111">
        <f t="shared" ca="1" si="3"/>
        <v>0.20579420579420579</v>
      </c>
    </row>
    <row r="54" spans="2:43">
      <c r="C54" s="50"/>
      <c r="S54" s="50">
        <v>0.96349802152661013</v>
      </c>
      <c r="T54" s="50">
        <v>0.95175460908525422</v>
      </c>
      <c r="U54" s="50">
        <v>1.0446806985788777</v>
      </c>
      <c r="V54" s="50">
        <v>0.92596870560230793</v>
      </c>
      <c r="W54" s="50">
        <v>0.77318058388785837</v>
      </c>
      <c r="X54" s="50">
        <v>0.77318058388785837</v>
      </c>
      <c r="Y54" s="50">
        <v>0.99863972567736981</v>
      </c>
      <c r="Z54" s="50">
        <v>0.99863972567736981</v>
      </c>
      <c r="AI54" s="53">
        <v>1</v>
      </c>
      <c r="AJ54" s="50">
        <f ca="1"/>
        <v>0</v>
      </c>
      <c r="AK54" s="50">
        <f ca="1"/>
        <v>0</v>
      </c>
      <c r="AL54" s="50">
        <f ca="1"/>
        <v>733</v>
      </c>
      <c r="AM54" s="50">
        <f ca="1"/>
        <v>733</v>
      </c>
      <c r="AN54" s="111">
        <f t="shared" ca="1" si="3"/>
        <v>0</v>
      </c>
      <c r="AO54" s="111">
        <f t="shared" ca="1" si="3"/>
        <v>0</v>
      </c>
      <c r="AP54" s="111">
        <f t="shared" ca="1" si="3"/>
        <v>0.73226773226773223</v>
      </c>
      <c r="AQ54" s="111">
        <f t="shared" ca="1" si="3"/>
        <v>0.73226773226773223</v>
      </c>
    </row>
    <row r="55" spans="2:43">
      <c r="B55" s="50"/>
      <c r="C55" s="50"/>
      <c r="S55" s="50">
        <v>0.95124152735172807</v>
      </c>
      <c r="T55" s="50">
        <v>0.9358281032310003</v>
      </c>
      <c r="U55" s="50">
        <v>1.0069689791744552</v>
      </c>
      <c r="V55" s="50">
        <v>1.095785123029541</v>
      </c>
      <c r="W55" s="50">
        <v>0.83092355846349875</v>
      </c>
      <c r="X55" s="50">
        <v>0.83092355846349875</v>
      </c>
      <c r="Y55" s="50">
        <v>0.95956081314244257</v>
      </c>
      <c r="Z55" s="50">
        <v>0.95956081314244257</v>
      </c>
      <c r="AJ55" s="50">
        <f ca="1">SUM(AJ4:AJ54)</f>
        <v>1001</v>
      </c>
      <c r="AK55" s="50">
        <f ca="1">SUM(AK4:AK54)</f>
        <v>1001</v>
      </c>
      <c r="AL55" s="50">
        <f ca="1">SUM(AL4:AL54)</f>
        <v>1001</v>
      </c>
      <c r="AM55" s="50">
        <f ca="1">SUM(AM4:AM54)</f>
        <v>1001</v>
      </c>
      <c r="AN55" s="50"/>
      <c r="AO55" s="50"/>
      <c r="AP55" s="50"/>
      <c r="AQ55" s="50"/>
    </row>
    <row r="56" spans="2:43">
      <c r="S56" s="50">
        <v>0.95588287447468268</v>
      </c>
      <c r="T56" s="50">
        <v>0.94182071663645428</v>
      </c>
      <c r="U56" s="50">
        <v>0.99825594057066347</v>
      </c>
      <c r="V56" s="50">
        <v>0.91028432423601979</v>
      </c>
      <c r="W56" s="50">
        <v>0.69236728980722384</v>
      </c>
      <c r="X56" s="50">
        <v>0.69236728980722384</v>
      </c>
      <c r="Y56" s="50">
        <v>0.97458353465199288</v>
      </c>
      <c r="Z56" s="50">
        <v>0.97458353465199288</v>
      </c>
    </row>
    <row r="57" spans="2:43">
      <c r="S57" s="50">
        <v>0.95841825147987181</v>
      </c>
      <c r="T57" s="50">
        <v>0.94513427131423</v>
      </c>
      <c r="U57" s="50">
        <v>0.8942072376184127</v>
      </c>
      <c r="V57" s="50">
        <v>0.83990466841690936</v>
      </c>
      <c r="W57" s="50">
        <v>0.77690372114675077</v>
      </c>
      <c r="X57" s="50">
        <v>0.77690372114675077</v>
      </c>
      <c r="Y57" s="50">
        <v>0.97957846372457191</v>
      </c>
      <c r="Z57" s="50">
        <v>0.97957846372457191</v>
      </c>
    </row>
    <row r="58" spans="2:43">
      <c r="S58" s="50">
        <v>0.96164650967073362</v>
      </c>
      <c r="T58" s="50">
        <v>0.94933618875516868</v>
      </c>
      <c r="U58" s="50">
        <v>0.93299886070418769</v>
      </c>
      <c r="V58" s="50">
        <v>0.9056923976589224</v>
      </c>
      <c r="W58" s="50">
        <v>0.75741506137481784</v>
      </c>
      <c r="X58" s="50">
        <v>0.75741506137481784</v>
      </c>
      <c r="Y58" s="50">
        <v>0.99162686794656218</v>
      </c>
      <c r="Z58" s="50">
        <v>0.99162686794656218</v>
      </c>
    </row>
    <row r="59" spans="2:43">
      <c r="S59" s="50">
        <v>0.96206576306911862</v>
      </c>
      <c r="T59" s="50">
        <v>0.94989171192688981</v>
      </c>
      <c r="U59" s="50">
        <v>1.0174432207195336</v>
      </c>
      <c r="V59" s="50">
        <v>0.84198707474727374</v>
      </c>
      <c r="W59" s="50">
        <v>0.81518810587847534</v>
      </c>
      <c r="X59" s="50">
        <v>0.81518810587847534</v>
      </c>
      <c r="Y59" s="50">
        <v>0.99123059943496861</v>
      </c>
      <c r="Z59" s="50">
        <v>0.99123059943496861</v>
      </c>
    </row>
    <row r="60" spans="2:43">
      <c r="S60" s="50">
        <v>0.96015915304644217</v>
      </c>
      <c r="T60" s="50">
        <v>0.94739611178498584</v>
      </c>
      <c r="U60" s="50">
        <v>0.88093095018179068</v>
      </c>
      <c r="V60" s="50">
        <v>0.94790851095955753</v>
      </c>
      <c r="W60" s="50">
        <v>0.74919616117070476</v>
      </c>
      <c r="X60" s="50">
        <v>0.74919616117070476</v>
      </c>
      <c r="Y60" s="50">
        <v>0.98636793590551974</v>
      </c>
      <c r="Z60" s="50">
        <v>0.98636793590551974</v>
      </c>
    </row>
    <row r="61" spans="2:43">
      <c r="S61" s="50">
        <v>0.96283391608445756</v>
      </c>
      <c r="T61" s="50">
        <v>0.95089418488532684</v>
      </c>
      <c r="U61" s="50">
        <v>0.99362586389049512</v>
      </c>
      <c r="V61" s="50">
        <v>0.8963575561359669</v>
      </c>
      <c r="W61" s="50">
        <v>0.8180300260566985</v>
      </c>
      <c r="X61" s="50">
        <v>0.8180300260566985</v>
      </c>
      <c r="Y61" s="50">
        <v>0.99418855360023128</v>
      </c>
      <c r="Z61" s="50">
        <v>0.99418855360023128</v>
      </c>
    </row>
    <row r="62" spans="2:43">
      <c r="S62" s="50">
        <v>0.96320525948306857</v>
      </c>
      <c r="T62" s="50">
        <v>0.95137604230976902</v>
      </c>
      <c r="U62" s="50">
        <v>0.9659445959258689</v>
      </c>
      <c r="V62" s="50">
        <v>0.96042897943075589</v>
      </c>
      <c r="W62" s="50">
        <v>0.79791696405925505</v>
      </c>
      <c r="X62" s="50">
        <v>0.79791696405925505</v>
      </c>
      <c r="Y62" s="50">
        <v>0.99642802300118838</v>
      </c>
      <c r="Z62" s="50">
        <v>0.99642802300118838</v>
      </c>
    </row>
    <row r="63" spans="2:43">
      <c r="S63" s="50">
        <v>0.96320926078632652</v>
      </c>
      <c r="T63" s="50">
        <v>0.95139192633161385</v>
      </c>
      <c r="U63" s="50">
        <v>1.1050398714223508</v>
      </c>
      <c r="V63" s="50">
        <v>0.90259399699502629</v>
      </c>
      <c r="W63" s="50">
        <v>0.8831029207057004</v>
      </c>
      <c r="X63" s="50">
        <v>0.8831029207057004</v>
      </c>
      <c r="Y63" s="50">
        <v>0.99373490201462289</v>
      </c>
      <c r="Z63" s="50">
        <v>0.99373490201462289</v>
      </c>
    </row>
    <row r="64" spans="2:43">
      <c r="S64" s="50">
        <v>0.96151107513520784</v>
      </c>
      <c r="T64" s="50">
        <v>0.94916871946177861</v>
      </c>
      <c r="U64" s="50">
        <v>0.90594216922930304</v>
      </c>
      <c r="V64" s="50">
        <v>0.89284558205801612</v>
      </c>
      <c r="W64" s="50">
        <v>0.81736245472291214</v>
      </c>
      <c r="X64" s="50">
        <v>0.81736245472291214</v>
      </c>
      <c r="Y64" s="50">
        <v>0.98904824686427806</v>
      </c>
      <c r="Z64" s="50">
        <v>0.98904824686427806</v>
      </c>
    </row>
    <row r="65" spans="19:26">
      <c r="S65" s="50">
        <v>0.95895835023228337</v>
      </c>
      <c r="T65" s="50">
        <v>0.94582513154983738</v>
      </c>
      <c r="U65" s="50">
        <v>0.95494845396190287</v>
      </c>
      <c r="V65" s="50">
        <v>0.91624971636067709</v>
      </c>
      <c r="W65" s="50">
        <v>0.71205582205763518</v>
      </c>
      <c r="X65" s="50">
        <v>0.71205582205763518</v>
      </c>
      <c r="Y65" s="50">
        <v>0.98355984063662871</v>
      </c>
      <c r="Z65" s="50">
        <v>0.98355984063662871</v>
      </c>
    </row>
    <row r="66" spans="19:26">
      <c r="S66" s="50">
        <v>0.95951346785409641</v>
      </c>
      <c r="T66" s="50">
        <v>0.94656191810821788</v>
      </c>
      <c r="U66" s="50">
        <v>0.96366429808303677</v>
      </c>
      <c r="V66" s="50">
        <v>1.0217525749576688</v>
      </c>
      <c r="W66" s="50">
        <v>0.78962483649731263</v>
      </c>
      <c r="X66" s="50">
        <v>0.78962483649731263</v>
      </c>
      <c r="Y66" s="50">
        <v>0.98279157907379677</v>
      </c>
      <c r="Z66" s="50">
        <v>0.98279157907379677</v>
      </c>
    </row>
    <row r="67" spans="19:26">
      <c r="S67" s="50">
        <v>0.9579844366963437</v>
      </c>
      <c r="T67" s="50">
        <v>0.944576536259364</v>
      </c>
      <c r="U67" s="50">
        <v>1.1343585957785229</v>
      </c>
      <c r="V67" s="50">
        <v>1.0211548445458571</v>
      </c>
      <c r="W67" s="50">
        <v>0.8184593541206866</v>
      </c>
      <c r="X67" s="50">
        <v>0.8184593541206866</v>
      </c>
      <c r="Y67" s="50">
        <v>0.97710253307260631</v>
      </c>
      <c r="Z67" s="50">
        <v>0.97710253307260631</v>
      </c>
    </row>
    <row r="68" spans="19:26">
      <c r="S68" s="50">
        <v>0.95908360010864846</v>
      </c>
      <c r="T68" s="50">
        <v>0.94599781813648431</v>
      </c>
      <c r="U68" s="50">
        <v>0.87388237139986602</v>
      </c>
      <c r="V68" s="50">
        <v>0.76063552112225374</v>
      </c>
      <c r="W68" s="50">
        <v>0.762892080966171</v>
      </c>
      <c r="X68" s="50">
        <v>0.762892080966171</v>
      </c>
      <c r="Y68" s="50">
        <v>0.98218023259689868</v>
      </c>
      <c r="Z68" s="50">
        <v>0.98218023259689868</v>
      </c>
    </row>
    <row r="69" spans="19:26">
      <c r="S69" s="50">
        <v>0.95400102526490493</v>
      </c>
      <c r="T69" s="50">
        <v>0.93940278770674612</v>
      </c>
      <c r="U69" s="50">
        <v>0.98953573372889547</v>
      </c>
      <c r="V69" s="50">
        <v>0.73494306655120367</v>
      </c>
      <c r="W69" s="50">
        <v>0.82110134280271585</v>
      </c>
      <c r="X69" s="50">
        <v>0.82110134280271585</v>
      </c>
      <c r="Y69" s="50">
        <v>0.96611013310031157</v>
      </c>
      <c r="Z69" s="50">
        <v>0.96611013310031157</v>
      </c>
    </row>
    <row r="70" spans="19:26">
      <c r="S70" s="50">
        <v>0.96001038886640233</v>
      </c>
      <c r="T70" s="50">
        <v>0.94720688472824299</v>
      </c>
      <c r="U70" s="50">
        <v>0.96762508216158138</v>
      </c>
      <c r="V70" s="50">
        <v>0.95467796127145188</v>
      </c>
      <c r="W70" s="50">
        <v>0.77603672335464824</v>
      </c>
      <c r="X70" s="50">
        <v>0.77603672335464824</v>
      </c>
      <c r="Y70" s="50">
        <v>0.98492168640501754</v>
      </c>
      <c r="Z70" s="50">
        <v>0.98492168640501754</v>
      </c>
    </row>
    <row r="71" spans="19:26">
      <c r="S71" s="50">
        <v>0.96257134468906458</v>
      </c>
      <c r="T71" s="50">
        <v>0.95054626764917582</v>
      </c>
      <c r="U71" s="50">
        <v>0.90144297017231334</v>
      </c>
      <c r="V71" s="50">
        <v>0.92864297385322858</v>
      </c>
      <c r="W71" s="50">
        <v>0.78078181519172241</v>
      </c>
      <c r="X71" s="50">
        <v>0.78078181519172241</v>
      </c>
      <c r="Y71" s="50">
        <v>0.99443393497297106</v>
      </c>
      <c r="Z71" s="50">
        <v>0.99443393497297106</v>
      </c>
    </row>
    <row r="72" spans="19:26">
      <c r="S72" s="50">
        <v>0.96314745485482023</v>
      </c>
      <c r="T72" s="50">
        <v>0.95128706423666276</v>
      </c>
      <c r="U72" s="50">
        <v>0.92266341402739571</v>
      </c>
      <c r="V72" s="50">
        <v>0.97080393353533545</v>
      </c>
      <c r="W72" s="50">
        <v>0.71431963134764342</v>
      </c>
      <c r="X72" s="50">
        <v>0.71431963134764342</v>
      </c>
      <c r="Y72" s="50">
        <v>0.99977273225352903</v>
      </c>
      <c r="Z72" s="50">
        <v>0.99977273225352903</v>
      </c>
    </row>
    <row r="73" spans="19:26">
      <c r="S73" s="50">
        <v>0.95987592343986461</v>
      </c>
      <c r="T73" s="50">
        <v>0.9470016186787259</v>
      </c>
      <c r="U73" s="50">
        <v>0.90455837791049787</v>
      </c>
      <c r="V73" s="50">
        <v>1.0818861446383607</v>
      </c>
      <c r="W73" s="50">
        <v>0.63308198239541302</v>
      </c>
      <c r="X73" s="50">
        <v>0.63308198239541302</v>
      </c>
      <c r="Y73" s="50">
        <v>0.99067984037555323</v>
      </c>
      <c r="Z73" s="50">
        <v>0.99067984037555323</v>
      </c>
    </row>
    <row r="74" spans="19:26">
      <c r="S74" s="50">
        <v>0.96410367562954002</v>
      </c>
      <c r="T74" s="50">
        <v>0.95255217759067234</v>
      </c>
      <c r="U74" s="50">
        <v>0.9213198856700594</v>
      </c>
      <c r="V74" s="50">
        <v>1.0357655931320271</v>
      </c>
      <c r="W74" s="50">
        <v>0.82128019750828241</v>
      </c>
      <c r="X74" s="50">
        <v>0.82128019750828241</v>
      </c>
      <c r="Y74" s="50">
        <v>0.99945224551264733</v>
      </c>
      <c r="Z74" s="50">
        <v>0.99945224551264733</v>
      </c>
    </row>
    <row r="75" spans="19:26">
      <c r="S75" s="50">
        <v>0.96000867946705193</v>
      </c>
      <c r="T75" s="50">
        <v>0.94720333459808681</v>
      </c>
      <c r="U75" s="50">
        <v>1.0626461956674427</v>
      </c>
      <c r="V75" s="50">
        <v>1.0076694871734917</v>
      </c>
      <c r="W75" s="50">
        <v>0.76803119604645709</v>
      </c>
      <c r="X75" s="50">
        <v>0.76803119604645709</v>
      </c>
      <c r="Y75" s="50">
        <v>0.98517915124746225</v>
      </c>
      <c r="Z75" s="50">
        <v>0.98517915124746225</v>
      </c>
    </row>
    <row r="76" spans="19:26">
      <c r="S76" s="50">
        <v>0.962518092241468</v>
      </c>
      <c r="T76" s="50">
        <v>0.95048379952158557</v>
      </c>
      <c r="U76" s="50">
        <v>1.1234439578653124</v>
      </c>
      <c r="V76" s="50">
        <v>1.079242024046392</v>
      </c>
      <c r="W76" s="50">
        <v>0.83066939314221311</v>
      </c>
      <c r="X76" s="50">
        <v>0.83066939314221311</v>
      </c>
      <c r="Y76" s="50">
        <v>0.99251324623633363</v>
      </c>
      <c r="Z76" s="50">
        <v>0.99251324623633363</v>
      </c>
    </row>
    <row r="77" spans="19:26">
      <c r="S77" s="50">
        <v>0.95680428384668526</v>
      </c>
      <c r="T77" s="50">
        <v>0.94302698464857615</v>
      </c>
      <c r="U77" s="50">
        <v>0.88412001498681003</v>
      </c>
      <c r="V77" s="50">
        <v>0.82091041498139572</v>
      </c>
      <c r="W77" s="50">
        <v>0.73243687030554816</v>
      </c>
      <c r="X77" s="50">
        <v>0.73243687030554816</v>
      </c>
      <c r="Y77" s="50">
        <v>0.97595661063450967</v>
      </c>
      <c r="Z77" s="50">
        <v>0.97595661063450967</v>
      </c>
    </row>
    <row r="78" spans="19:26">
      <c r="S78" s="50">
        <v>0.96075770798857008</v>
      </c>
      <c r="T78" s="50">
        <v>0.94817857624054658</v>
      </c>
      <c r="U78" s="50">
        <v>0.90513728161020113</v>
      </c>
      <c r="V78" s="50">
        <v>0.82493222017710566</v>
      </c>
      <c r="W78" s="50">
        <v>0.76391421340904786</v>
      </c>
      <c r="X78" s="50">
        <v>0.76391421340904786</v>
      </c>
      <c r="Y78" s="50">
        <v>0.98801526140983376</v>
      </c>
      <c r="Z78" s="50">
        <v>0.98801526140983376</v>
      </c>
    </row>
    <row r="79" spans="19:26">
      <c r="S79" s="50">
        <v>0.96298016867176595</v>
      </c>
      <c r="T79" s="50">
        <v>0.95108210657022219</v>
      </c>
      <c r="U79" s="50">
        <v>1.0262265498049479</v>
      </c>
      <c r="V79" s="50">
        <v>0.85389328684811938</v>
      </c>
      <c r="W79" s="50">
        <v>0.79682635953981851</v>
      </c>
      <c r="X79" s="50">
        <v>0.79682635953981851</v>
      </c>
      <c r="Y79" s="50">
        <v>0.99552651969952544</v>
      </c>
      <c r="Z79" s="50">
        <v>0.99552651969952544</v>
      </c>
    </row>
    <row r="80" spans="19:26">
      <c r="S80" s="50">
        <v>0.96173722354761193</v>
      </c>
      <c r="T80" s="50">
        <v>0.94945472324120206</v>
      </c>
      <c r="U80" s="50">
        <v>0.9513429958611197</v>
      </c>
      <c r="V80" s="50">
        <v>0.93890480196866866</v>
      </c>
      <c r="W80" s="50">
        <v>0.7588298713827778</v>
      </c>
      <c r="X80" s="50">
        <v>0.7588298713827778</v>
      </c>
      <c r="Y80" s="50">
        <v>0.99192763623938318</v>
      </c>
      <c r="Z80" s="50">
        <v>0.99192763623938318</v>
      </c>
    </row>
    <row r="81" spans="19:26">
      <c r="S81" s="50">
        <v>0.96389033358317999</v>
      </c>
      <c r="T81" s="50">
        <v>0.95227027522862484</v>
      </c>
      <c r="U81" s="50">
        <v>0.84160071421289595</v>
      </c>
      <c r="V81" s="50">
        <v>0.87332242977621244</v>
      </c>
      <c r="W81" s="50">
        <v>0.79667075807927668</v>
      </c>
      <c r="X81" s="50">
        <v>0.79667075807927668</v>
      </c>
      <c r="Y81" s="50">
        <v>0.99942637137529022</v>
      </c>
      <c r="Z81" s="50">
        <v>0.99942637137529022</v>
      </c>
    </row>
    <row r="82" spans="19:26">
      <c r="S82" s="50">
        <v>0.9609577046809753</v>
      </c>
      <c r="T82" s="50">
        <v>0.94844122961213573</v>
      </c>
      <c r="U82" s="50">
        <v>0.93374753162853064</v>
      </c>
      <c r="V82" s="50">
        <v>1.0108309553464847</v>
      </c>
      <c r="W82" s="50">
        <v>0.77613429954304769</v>
      </c>
      <c r="X82" s="50">
        <v>0.77613429954304769</v>
      </c>
      <c r="Y82" s="50">
        <v>0.98832703709518521</v>
      </c>
      <c r="Z82" s="50">
        <v>0.98832703709518521</v>
      </c>
    </row>
    <row r="83" spans="19:26">
      <c r="S83" s="50">
        <v>0.96049792192765393</v>
      </c>
      <c r="T83" s="50">
        <v>0.94784508492450004</v>
      </c>
      <c r="U83" s="50">
        <v>0.90447863838062104</v>
      </c>
      <c r="V83" s="50">
        <v>0.95631405702049466</v>
      </c>
      <c r="W83" s="50">
        <v>0.79553340788938187</v>
      </c>
      <c r="X83" s="50">
        <v>0.79553340788938187</v>
      </c>
      <c r="Y83" s="50">
        <v>0.98602298601633354</v>
      </c>
      <c r="Z83" s="50">
        <v>0.98602298601633354</v>
      </c>
    </row>
    <row r="84" spans="19:26">
      <c r="S84" s="50">
        <v>0.95833583309455528</v>
      </c>
      <c r="T84" s="50">
        <v>0.94502983322187328</v>
      </c>
      <c r="U84" s="50">
        <v>1.1069531261239061</v>
      </c>
      <c r="V84" s="50">
        <v>0.90703781005098727</v>
      </c>
      <c r="W84" s="50">
        <v>0.79389478268275804</v>
      </c>
      <c r="X84" s="50">
        <v>0.79389478268275804</v>
      </c>
      <c r="Y84" s="50">
        <v>0.9788334532036107</v>
      </c>
      <c r="Z84" s="50">
        <v>0.9788334532036107</v>
      </c>
    </row>
    <row r="85" spans="19:26">
      <c r="S85" s="50">
        <v>0.96353873299347859</v>
      </c>
      <c r="T85" s="50">
        <v>0.95180916247387748</v>
      </c>
      <c r="U85" s="50">
        <v>0.87188767623216135</v>
      </c>
      <c r="V85" s="50">
        <v>0.9382282707483085</v>
      </c>
      <c r="W85" s="50">
        <v>0.7825782948905744</v>
      </c>
      <c r="X85" s="50">
        <v>0.7825782948905744</v>
      </c>
      <c r="Y85" s="50">
        <v>0.99843852763968011</v>
      </c>
      <c r="Z85" s="50">
        <v>0.99843852763968011</v>
      </c>
    </row>
    <row r="86" spans="19:26">
      <c r="S86" s="50">
        <v>0.96090214317224609</v>
      </c>
      <c r="T86" s="50">
        <v>0.94837411813469452</v>
      </c>
      <c r="U86" s="50">
        <v>0.90440582186407514</v>
      </c>
      <c r="V86" s="50">
        <v>0.87519272733779008</v>
      </c>
      <c r="W86" s="50">
        <v>0.81114298048499878</v>
      </c>
      <c r="X86" s="50">
        <v>0.81114298048499878</v>
      </c>
      <c r="Y86" s="50">
        <v>0.98699576066006822</v>
      </c>
      <c r="Z86" s="50">
        <v>0.98699576066006822</v>
      </c>
    </row>
    <row r="87" spans="19:26">
      <c r="S87" s="50">
        <v>0.95983914292390171</v>
      </c>
      <c r="T87" s="50">
        <v>0.9469828938415279</v>
      </c>
      <c r="U87" s="50">
        <v>1.0000933201684692</v>
      </c>
      <c r="V87" s="50">
        <v>0.88877946300941524</v>
      </c>
      <c r="W87" s="50">
        <v>0.77032356101096899</v>
      </c>
      <c r="X87" s="50">
        <v>0.77032356101096899</v>
      </c>
      <c r="Y87" s="50">
        <v>0.98451110726016344</v>
      </c>
      <c r="Z87" s="50">
        <v>0.98451110726016344</v>
      </c>
    </row>
    <row r="88" spans="19:26">
      <c r="S88" s="50">
        <v>0.96322420193366254</v>
      </c>
      <c r="T88" s="50">
        <v>0.95139827061828819</v>
      </c>
      <c r="U88" s="50">
        <v>0.95978932553197416</v>
      </c>
      <c r="V88" s="50">
        <v>1.0716292915391852</v>
      </c>
      <c r="W88" s="50">
        <v>0.78069021254269333</v>
      </c>
      <c r="X88" s="50">
        <v>0.78069021254269333</v>
      </c>
      <c r="Y88" s="50">
        <v>0.99715999535000099</v>
      </c>
      <c r="Z88" s="50">
        <v>0.99715999535000099</v>
      </c>
    </row>
    <row r="89" spans="19:26">
      <c r="S89" s="50">
        <v>0.96136140668571479</v>
      </c>
      <c r="T89" s="50">
        <v>0.94896285584151596</v>
      </c>
      <c r="U89" s="50">
        <v>0.84533225529481737</v>
      </c>
      <c r="V89" s="50">
        <v>0.8762964523795177</v>
      </c>
      <c r="W89" s="50">
        <v>0.74815171622010912</v>
      </c>
      <c r="X89" s="50">
        <v>0.74815171622010912</v>
      </c>
      <c r="Y89" s="50">
        <v>0.99087930968191151</v>
      </c>
      <c r="Z89" s="50">
        <v>0.99087930968191151</v>
      </c>
    </row>
    <row r="90" spans="19:26">
      <c r="S90" s="50">
        <v>0.96120639750976322</v>
      </c>
      <c r="T90" s="50">
        <v>0.94877096319704657</v>
      </c>
      <c r="U90" s="50">
        <v>0.87472154299202265</v>
      </c>
      <c r="V90" s="50">
        <v>0.89602087704896027</v>
      </c>
      <c r="W90" s="50">
        <v>0.81323082897954913</v>
      </c>
      <c r="X90" s="50">
        <v>0.81323082897954913</v>
      </c>
      <c r="Y90" s="50">
        <v>0.98804331786749444</v>
      </c>
      <c r="Z90" s="50">
        <v>0.98804331786749444</v>
      </c>
    </row>
    <row r="91" spans="19:26">
      <c r="S91" s="50">
        <v>0.96344728300305382</v>
      </c>
      <c r="T91" s="50">
        <v>0.95169132021738601</v>
      </c>
      <c r="U91" s="50">
        <v>0.97072032718953993</v>
      </c>
      <c r="V91" s="50">
        <v>1.0655919300890275</v>
      </c>
      <c r="W91" s="50">
        <v>0.7933050816036481</v>
      </c>
      <c r="X91" s="50">
        <v>0.7933050816036481</v>
      </c>
      <c r="Y91" s="50">
        <v>0.99762840509860851</v>
      </c>
      <c r="Z91" s="50">
        <v>0.99762840509860851</v>
      </c>
    </row>
    <row r="92" spans="19:26">
      <c r="S92" s="50">
        <v>0.955348312298826</v>
      </c>
      <c r="T92" s="50">
        <v>0.9411451973317877</v>
      </c>
      <c r="U92" s="50">
        <v>0.90584831561578827</v>
      </c>
      <c r="V92" s="50">
        <v>0.92698046602602735</v>
      </c>
      <c r="W92" s="50">
        <v>0.78465387341274673</v>
      </c>
      <c r="X92" s="50">
        <v>0.78465387341274673</v>
      </c>
      <c r="Y92" s="50">
        <v>0.97038257525361193</v>
      </c>
      <c r="Z92" s="50">
        <v>0.97038257525361193</v>
      </c>
    </row>
    <row r="93" spans="19:26">
      <c r="S93" s="50">
        <v>0.96368475887869476</v>
      </c>
      <c r="T93" s="50">
        <v>0.95199698243384312</v>
      </c>
      <c r="U93" s="50">
        <v>0.82621460832930615</v>
      </c>
      <c r="V93" s="50">
        <v>0.95685261036269376</v>
      </c>
      <c r="W93" s="50">
        <v>0.76370329843435336</v>
      </c>
      <c r="X93" s="50">
        <v>0.76370329843435336</v>
      </c>
      <c r="Y93" s="50">
        <v>0.9998580441462942</v>
      </c>
      <c r="Z93" s="50">
        <v>0.9998580441462942</v>
      </c>
    </row>
    <row r="94" spans="19:26">
      <c r="S94" s="50">
        <v>0.9634878880686073</v>
      </c>
      <c r="T94" s="50">
        <v>0.95174359268467545</v>
      </c>
      <c r="U94" s="50">
        <v>0.98058785677204607</v>
      </c>
      <c r="V94" s="50">
        <v>0.94405658491603395</v>
      </c>
      <c r="W94" s="50">
        <v>0.78815700762091434</v>
      </c>
      <c r="X94" s="50">
        <v>0.78815700762091434</v>
      </c>
      <c r="Y94" s="50">
        <v>0.99800007941211977</v>
      </c>
      <c r="Z94" s="50">
        <v>0.99800007941211977</v>
      </c>
    </row>
    <row r="95" spans="19:26">
      <c r="S95" s="50">
        <v>0.95019549525203217</v>
      </c>
      <c r="T95" s="50">
        <v>0.93445715060742285</v>
      </c>
      <c r="U95" s="50">
        <v>1.0171107531017149</v>
      </c>
      <c r="V95" s="50">
        <v>1.0153924600105011</v>
      </c>
      <c r="W95" s="50">
        <v>0.74319717978143518</v>
      </c>
      <c r="X95" s="50">
        <v>0.74319717978143518</v>
      </c>
      <c r="Y95" s="50">
        <v>0.95899523708067336</v>
      </c>
      <c r="Z95" s="50">
        <v>0.95899523708067336</v>
      </c>
    </row>
    <row r="96" spans="19:26">
      <c r="S96" s="50">
        <v>0.95548293322857514</v>
      </c>
      <c r="T96" s="50">
        <v>0.94131806634325754</v>
      </c>
      <c r="U96" s="50">
        <v>1.1568719925327262</v>
      </c>
      <c r="V96" s="50">
        <v>0.96520184613745552</v>
      </c>
      <c r="W96" s="50">
        <v>0.77377416247770159</v>
      </c>
      <c r="X96" s="50">
        <v>0.77377416247770159</v>
      </c>
      <c r="Y96" s="50">
        <v>0.97101587461900851</v>
      </c>
      <c r="Z96" s="50">
        <v>0.97101587461900851</v>
      </c>
    </row>
    <row r="97" spans="19:26">
      <c r="S97" s="50">
        <v>0.9571356963198322</v>
      </c>
      <c r="T97" s="50">
        <v>0.94346990829274113</v>
      </c>
      <c r="U97" s="50">
        <v>1.0485763962129515</v>
      </c>
      <c r="V97" s="50">
        <v>1.032183650034441</v>
      </c>
      <c r="W97" s="50">
        <v>0.7992904890645901</v>
      </c>
      <c r="X97" s="50">
        <v>0.7992904890645901</v>
      </c>
      <c r="Y97" s="50">
        <v>0.97504351957687296</v>
      </c>
      <c r="Z97" s="50">
        <v>0.97504351957687296</v>
      </c>
    </row>
    <row r="98" spans="19:26">
      <c r="S98" s="50">
        <v>0.96365839038991608</v>
      </c>
      <c r="T98" s="50">
        <v>0.95196491009473405</v>
      </c>
      <c r="U98" s="50">
        <v>1.0235630593562621</v>
      </c>
      <c r="V98" s="50">
        <v>1.1044002289636938</v>
      </c>
      <c r="W98" s="50">
        <v>0.77928329564371557</v>
      </c>
      <c r="X98" s="50">
        <v>0.77928329564371557</v>
      </c>
      <c r="Y98" s="50">
        <v>0.9990926516961548</v>
      </c>
      <c r="Z98" s="50">
        <v>0.9990926516961548</v>
      </c>
    </row>
    <row r="99" spans="19:26">
      <c r="S99" s="50">
        <v>0.95438990906423538</v>
      </c>
      <c r="T99" s="50">
        <v>0.93990049031505352</v>
      </c>
      <c r="U99" s="50">
        <v>1.0475589823753126</v>
      </c>
      <c r="V99" s="50">
        <v>0.87039869259548708</v>
      </c>
      <c r="W99" s="50">
        <v>0.78118568136976241</v>
      </c>
      <c r="X99" s="50">
        <v>0.78118568136976241</v>
      </c>
      <c r="Y99" s="50">
        <v>0.96794788190775394</v>
      </c>
      <c r="Z99" s="50">
        <v>0.96794788190775394</v>
      </c>
    </row>
    <row r="100" spans="19:26">
      <c r="S100" s="50">
        <v>0.96286122315402989</v>
      </c>
      <c r="T100" s="50">
        <v>0.95091740486983822</v>
      </c>
      <c r="U100" s="50">
        <v>0.83888566383381535</v>
      </c>
      <c r="V100" s="50">
        <v>0.88254955613953068</v>
      </c>
      <c r="W100" s="50">
        <v>0.73656858285222782</v>
      </c>
      <c r="X100" s="50">
        <v>0.73656858285222782</v>
      </c>
      <c r="Y100" s="50">
        <v>0.99746339115504346</v>
      </c>
      <c r="Z100" s="50">
        <v>0.99746339115504346</v>
      </c>
    </row>
    <row r="101" spans="19:26">
      <c r="S101" s="50">
        <v>0.9573812351116372</v>
      </c>
      <c r="T101" s="50">
        <v>0.94377639091377696</v>
      </c>
      <c r="U101" s="50">
        <v>1.0118754319019854</v>
      </c>
      <c r="V101" s="50">
        <v>0.95588721406802535</v>
      </c>
      <c r="W101" s="50">
        <v>0.72869500405944732</v>
      </c>
      <c r="X101" s="50">
        <v>0.72869500405944732</v>
      </c>
      <c r="Y101" s="50">
        <v>0.97783193112376376</v>
      </c>
      <c r="Z101" s="50">
        <v>0.97783193112376376</v>
      </c>
    </row>
    <row r="102" spans="19:26">
      <c r="S102" s="50">
        <v>0.96058795140970599</v>
      </c>
      <c r="T102" s="50">
        <v>0.94793671760208209</v>
      </c>
      <c r="U102" s="50">
        <v>0.95816471878531972</v>
      </c>
      <c r="V102" s="50">
        <v>0.91404253849812633</v>
      </c>
      <c r="W102" s="50">
        <v>0.66079777196313572</v>
      </c>
      <c r="X102" s="50">
        <v>0.66079777196313572</v>
      </c>
      <c r="Y102" s="50">
        <v>0.9918853368420093</v>
      </c>
      <c r="Z102" s="50">
        <v>0.9918853368420093</v>
      </c>
    </row>
    <row r="103" spans="19:26">
      <c r="S103" s="50">
        <v>0.95942055518927083</v>
      </c>
      <c r="T103" s="50">
        <v>0.9464403466214566</v>
      </c>
      <c r="U103" s="50">
        <v>1.0155420557144923</v>
      </c>
      <c r="V103" s="50">
        <v>0.97838989424299772</v>
      </c>
      <c r="W103" s="50">
        <v>0.78589485914485036</v>
      </c>
      <c r="X103" s="50">
        <v>0.78589485914485036</v>
      </c>
      <c r="Y103" s="50">
        <v>0.98259105613425546</v>
      </c>
      <c r="Z103" s="50">
        <v>0.98259105613425546</v>
      </c>
    </row>
    <row r="104" spans="19:26">
      <c r="S104" s="50">
        <v>0.95776636387979386</v>
      </c>
      <c r="T104" s="50">
        <v>0.94427518428886303</v>
      </c>
      <c r="U104" s="50">
        <v>0.88217490545721944</v>
      </c>
      <c r="V104" s="50">
        <v>0.93314019048730301</v>
      </c>
      <c r="W104" s="50">
        <v>0.71828543408693324</v>
      </c>
      <c r="X104" s="50">
        <v>0.71828543408693324</v>
      </c>
      <c r="Y104" s="50">
        <v>0.97939734896267816</v>
      </c>
      <c r="Z104" s="50">
        <v>0.97939734896267816</v>
      </c>
    </row>
    <row r="105" spans="19:26">
      <c r="S105" s="50">
        <v>0.9603926891755854</v>
      </c>
      <c r="T105" s="50">
        <v>0.94770524311952398</v>
      </c>
      <c r="U105" s="50">
        <v>0.8456832475433651</v>
      </c>
      <c r="V105" s="50">
        <v>0.9134332398971915</v>
      </c>
      <c r="W105" s="50">
        <v>0.77804747592940449</v>
      </c>
      <c r="X105" s="50">
        <v>0.77804747592940449</v>
      </c>
      <c r="Y105" s="50">
        <v>0.98620754710501723</v>
      </c>
      <c r="Z105" s="50">
        <v>0.98620754710501723</v>
      </c>
    </row>
    <row r="106" spans="19:26">
      <c r="S106" s="50">
        <v>0.95921361802347749</v>
      </c>
      <c r="T106" s="50">
        <v>0.94616806198517567</v>
      </c>
      <c r="U106" s="50">
        <v>0.90770780301926801</v>
      </c>
      <c r="V106" s="50">
        <v>0.87106128846913211</v>
      </c>
      <c r="W106" s="50">
        <v>0.76858562120401797</v>
      </c>
      <c r="X106" s="50">
        <v>0.76858562120401797</v>
      </c>
      <c r="Y106" s="50">
        <v>0.98243290210402023</v>
      </c>
      <c r="Z106" s="50">
        <v>0.98243290210402023</v>
      </c>
    </row>
    <row r="107" spans="19:26">
      <c r="S107" s="50">
        <v>0.95778872239210777</v>
      </c>
      <c r="T107" s="50">
        <v>0.9442975063612703</v>
      </c>
      <c r="U107" s="50">
        <v>0.99238529339199644</v>
      </c>
      <c r="V107" s="50">
        <v>0.9919815562138411</v>
      </c>
      <c r="W107" s="50">
        <v>0.68738915455365346</v>
      </c>
      <c r="X107" s="50">
        <v>0.68738915455365346</v>
      </c>
      <c r="Y107" s="50">
        <v>0.98063961630371577</v>
      </c>
      <c r="Z107" s="50">
        <v>0.98063961630371577</v>
      </c>
    </row>
    <row r="108" spans="19:26" ht="13">
      <c r="S108" s="50">
        <v>0.96171512723802455</v>
      </c>
      <c r="T108" s="50">
        <v>0.94943033266593047</v>
      </c>
      <c r="U108" s="50">
        <v>0.9571718742999451</v>
      </c>
      <c r="V108" s="50">
        <v>0.74484429900598148</v>
      </c>
      <c r="W108" s="50">
        <v>0.78676588072034881</v>
      </c>
      <c r="X108" s="50">
        <v>0.78676588072034881</v>
      </c>
      <c r="Y108" s="50">
        <v>0.99082157029168116</v>
      </c>
      <c r="Z108" s="50">
        <v>0.99082157029168116</v>
      </c>
    </row>
    <row r="109" spans="19:26">
      <c r="S109" s="50">
        <v>0.96326465648729287</v>
      </c>
      <c r="T109" s="50">
        <v>0.95145961835046799</v>
      </c>
      <c r="U109" s="50">
        <v>0.96507922940043001</v>
      </c>
      <c r="V109" s="50">
        <v>1.038656420542982</v>
      </c>
      <c r="W109" s="50">
        <v>0.8437495821747879</v>
      </c>
      <c r="X109" s="50">
        <v>0.8437495821747879</v>
      </c>
      <c r="Y109" s="50">
        <v>0.99512013585548065</v>
      </c>
      <c r="Z109" s="50">
        <v>0.99512013585548065</v>
      </c>
    </row>
    <row r="110" spans="19:26">
      <c r="S110" s="50">
        <v>0.96312589767455525</v>
      </c>
      <c r="T110" s="50">
        <v>0.95126386283977071</v>
      </c>
      <c r="U110" s="50">
        <v>1.0763960893979609</v>
      </c>
      <c r="V110" s="50">
        <v>0.99074843142530555</v>
      </c>
      <c r="W110" s="50">
        <v>0.74228294521810068</v>
      </c>
      <c r="X110" s="50">
        <v>0.74228294521810068</v>
      </c>
      <c r="Y110" s="50">
        <v>0.99834661564797256</v>
      </c>
      <c r="Z110" s="50">
        <v>0.99834661564797256</v>
      </c>
    </row>
    <row r="111" spans="19:26">
      <c r="S111" s="50">
        <v>0.96254006095623479</v>
      </c>
      <c r="T111" s="50">
        <v>0.95050874128786733</v>
      </c>
      <c r="U111" s="50">
        <v>1.020543479106375</v>
      </c>
      <c r="V111" s="50">
        <v>0.91237062955876536</v>
      </c>
      <c r="W111" s="50">
        <v>0.80328681165946214</v>
      </c>
      <c r="X111" s="50">
        <v>0.80328681165946214</v>
      </c>
      <c r="Y111" s="50">
        <v>0.99349953420538561</v>
      </c>
      <c r="Z111" s="50">
        <v>0.99349953420538561</v>
      </c>
    </row>
    <row r="112" spans="19:26">
      <c r="S112" s="50">
        <v>0.95080508010768561</v>
      </c>
      <c r="T112" s="50">
        <v>0.9352483954867904</v>
      </c>
      <c r="U112" s="50">
        <v>0.97477718824863369</v>
      </c>
      <c r="V112" s="50">
        <v>0.83020481814679792</v>
      </c>
      <c r="W112" s="50">
        <v>0.75318084238146588</v>
      </c>
      <c r="X112" s="50">
        <v>0.75318084238146588</v>
      </c>
      <c r="Y112" s="50">
        <v>0.96009405283178761</v>
      </c>
      <c r="Z112" s="50">
        <v>0.96009405283178761</v>
      </c>
    </row>
    <row r="113" spans="19:26">
      <c r="S113" s="50">
        <v>0.96276013324521925</v>
      </c>
      <c r="T113" s="50">
        <v>0.95079324786175268</v>
      </c>
      <c r="U113" s="50">
        <v>0.9021731514408845</v>
      </c>
      <c r="V113" s="50">
        <v>0.92118028351766579</v>
      </c>
      <c r="W113" s="50">
        <v>0.7850510404479103</v>
      </c>
      <c r="X113" s="50">
        <v>0.7850510404479103</v>
      </c>
      <c r="Y113" s="50">
        <v>0.99504902637677028</v>
      </c>
      <c r="Z113" s="50">
        <v>0.99504902637677028</v>
      </c>
    </row>
    <row r="114" spans="19:26">
      <c r="S114" s="50">
        <v>0.96001688162778898</v>
      </c>
      <c r="T114" s="50">
        <v>0.94720590463131138</v>
      </c>
      <c r="U114" s="50">
        <v>1.0079504046303625</v>
      </c>
      <c r="V114" s="50">
        <v>0.97891005878643522</v>
      </c>
      <c r="W114" s="50">
        <v>0.72300097580948286</v>
      </c>
      <c r="X114" s="50">
        <v>0.72300097580948286</v>
      </c>
      <c r="Y114" s="50">
        <v>0.98684992021930629</v>
      </c>
      <c r="Z114" s="50">
        <v>0.98684992021930629</v>
      </c>
    </row>
    <row r="115" spans="19:26">
      <c r="S115" s="50">
        <v>0.960793941949458</v>
      </c>
      <c r="T115" s="50">
        <v>0.94822315390366907</v>
      </c>
      <c r="U115" s="50">
        <v>0.85975067369711633</v>
      </c>
      <c r="V115" s="50">
        <v>0.9146845305444723</v>
      </c>
      <c r="W115" s="50">
        <v>0.74841882596230325</v>
      </c>
      <c r="X115" s="50">
        <v>0.74841882596230325</v>
      </c>
      <c r="Y115" s="50">
        <v>0.988716760047612</v>
      </c>
      <c r="Z115" s="50">
        <v>0.988716760047612</v>
      </c>
    </row>
    <row r="116" spans="19:26">
      <c r="S116" s="50">
        <v>0.96178320755858826</v>
      </c>
      <c r="T116" s="50">
        <v>0.94951730947874069</v>
      </c>
      <c r="U116" s="50">
        <v>0.99345203380524971</v>
      </c>
      <c r="V116" s="50">
        <v>1.0105001088886374</v>
      </c>
      <c r="W116" s="50">
        <v>0.77507377338362282</v>
      </c>
      <c r="X116" s="50">
        <v>0.77507377338362282</v>
      </c>
      <c r="Y116" s="50">
        <v>0.99150020376364101</v>
      </c>
      <c r="Z116" s="50">
        <v>0.99150020376364101</v>
      </c>
    </row>
    <row r="117" spans="19:26">
      <c r="S117" s="50">
        <v>0.96058027230763243</v>
      </c>
      <c r="T117" s="50">
        <v>0.94795626851096937</v>
      </c>
      <c r="U117" s="50">
        <v>0.92955944921921752</v>
      </c>
      <c r="V117" s="50">
        <v>0.92937304480978555</v>
      </c>
      <c r="W117" s="50">
        <v>0.82217108506437153</v>
      </c>
      <c r="X117" s="50">
        <v>0.82217108506437153</v>
      </c>
      <c r="Y117" s="50">
        <v>0.98552107527963817</v>
      </c>
      <c r="Z117" s="50">
        <v>0.98552107527963817</v>
      </c>
    </row>
    <row r="118" spans="19:26">
      <c r="S118" s="50">
        <v>0.96249972213263635</v>
      </c>
      <c r="T118" s="50">
        <v>0.95045408077163518</v>
      </c>
      <c r="U118" s="50">
        <v>1.0283126688479034</v>
      </c>
      <c r="V118" s="50">
        <v>0.88605917730747541</v>
      </c>
      <c r="W118" s="50">
        <v>0.78922152922084177</v>
      </c>
      <c r="X118" s="50">
        <v>0.78922152922084177</v>
      </c>
      <c r="Y118" s="50">
        <v>0.99383271782196447</v>
      </c>
      <c r="Z118" s="50">
        <v>0.99383271782196447</v>
      </c>
    </row>
    <row r="119" spans="19:26">
      <c r="S119" s="50">
        <v>0.95779781722005908</v>
      </c>
      <c r="T119" s="50">
        <v>0.94433299746926747</v>
      </c>
      <c r="U119" s="50">
        <v>0.88581552556185805</v>
      </c>
      <c r="V119" s="50">
        <v>0.83942575065749014</v>
      </c>
      <c r="W119" s="50">
        <v>0.8130309574524095</v>
      </c>
      <c r="X119" s="50">
        <v>0.8130309574524095</v>
      </c>
      <c r="Y119" s="50">
        <v>0.97667115409418526</v>
      </c>
      <c r="Z119" s="50">
        <v>0.97667115409418526</v>
      </c>
    </row>
    <row r="120" spans="19:26">
      <c r="S120" s="50">
        <v>0.96296625275014791</v>
      </c>
      <c r="T120" s="50">
        <v>0.95106112904333417</v>
      </c>
      <c r="U120" s="50">
        <v>0.83202001194896347</v>
      </c>
      <c r="V120" s="50">
        <v>0.85716074103795903</v>
      </c>
      <c r="W120" s="50">
        <v>0.77764369921363874</v>
      </c>
      <c r="X120" s="50">
        <v>0.77764369921363874</v>
      </c>
      <c r="Y120" s="50">
        <v>0.99618814403483003</v>
      </c>
      <c r="Z120" s="50">
        <v>0.99618814403483003</v>
      </c>
    </row>
    <row r="121" spans="19:26">
      <c r="S121" s="50">
        <v>0.9626247570897275</v>
      </c>
      <c r="T121" s="50">
        <v>0.95061721855431069</v>
      </c>
      <c r="U121" s="50">
        <v>1.002932671346801</v>
      </c>
      <c r="V121" s="50">
        <v>0.92819844911750693</v>
      </c>
      <c r="W121" s="50">
        <v>0.78922421411973731</v>
      </c>
      <c r="X121" s="50">
        <v>0.78922421411973731</v>
      </c>
      <c r="Y121" s="50">
        <v>0.99434032440752751</v>
      </c>
      <c r="Z121" s="50">
        <v>0.99434032440752751</v>
      </c>
    </row>
    <row r="122" spans="19:26">
      <c r="S122" s="50">
        <v>0.96012524277959843</v>
      </c>
      <c r="T122" s="50">
        <v>0.94736294577029712</v>
      </c>
      <c r="U122" s="50">
        <v>1.0251134126665944</v>
      </c>
      <c r="V122" s="50">
        <v>0.97160711319040993</v>
      </c>
      <c r="W122" s="50">
        <v>0.81826328665582304</v>
      </c>
      <c r="X122" s="50">
        <v>0.81826328665582304</v>
      </c>
      <c r="Y122" s="50">
        <v>0.98404482613459243</v>
      </c>
      <c r="Z122" s="50">
        <v>0.98404482613459243</v>
      </c>
    </row>
    <row r="123" spans="19:26">
      <c r="S123" s="50">
        <v>0.95719945575913179</v>
      </c>
      <c r="T123" s="50">
        <v>0.94354704674918755</v>
      </c>
      <c r="U123" s="50">
        <v>1.0171945132262352</v>
      </c>
      <c r="V123" s="50">
        <v>1.0078352544677338</v>
      </c>
      <c r="W123" s="50">
        <v>0.76558633087862382</v>
      </c>
      <c r="X123" s="50">
        <v>0.76558633087862382</v>
      </c>
      <c r="Y123" s="50">
        <v>0.97613953768710182</v>
      </c>
      <c r="Z123" s="50">
        <v>0.97613953768710182</v>
      </c>
    </row>
    <row r="124" spans="19:26">
      <c r="S124" s="50">
        <v>0.95574465344139781</v>
      </c>
      <c r="T124" s="50">
        <v>0.94166127716144366</v>
      </c>
      <c r="U124" s="50">
        <v>0.886052589277046</v>
      </c>
      <c r="V124" s="50">
        <v>0.82517765997413484</v>
      </c>
      <c r="W124" s="50">
        <v>0.79257421784697835</v>
      </c>
      <c r="X124" s="50">
        <v>0.79257421784697835</v>
      </c>
      <c r="Y124" s="50">
        <v>0.97126677250005855</v>
      </c>
      <c r="Z124" s="50">
        <v>0.97126677250005855</v>
      </c>
    </row>
    <row r="125" spans="19:26">
      <c r="S125" s="50">
        <v>0.96068536782714076</v>
      </c>
      <c r="T125" s="50">
        <v>0.94808356181285369</v>
      </c>
      <c r="U125" s="50">
        <v>0.85138943416059454</v>
      </c>
      <c r="V125" s="50">
        <v>0.86165933482975698</v>
      </c>
      <c r="W125" s="50">
        <v>0.7595204933358688</v>
      </c>
      <c r="X125" s="50">
        <v>0.7595204933358688</v>
      </c>
      <c r="Y125" s="50">
        <v>0.98790597491028154</v>
      </c>
      <c r="Z125" s="50">
        <v>0.98790597491028154</v>
      </c>
    </row>
    <row r="126" spans="19:26">
      <c r="S126" s="50">
        <v>0.96304157784029099</v>
      </c>
      <c r="T126" s="50">
        <v>0.95115507843917535</v>
      </c>
      <c r="U126" s="50">
        <v>0.95467322052321868</v>
      </c>
      <c r="V126" s="50">
        <v>0.83689800780776635</v>
      </c>
      <c r="W126" s="50">
        <v>0.74998147545052596</v>
      </c>
      <c r="X126" s="50">
        <v>0.74998147545052596</v>
      </c>
      <c r="Y126" s="50">
        <v>0.99764289540971984</v>
      </c>
      <c r="Z126" s="50">
        <v>0.99764289540971984</v>
      </c>
    </row>
    <row r="127" spans="19:26">
      <c r="S127" s="50">
        <v>0.96367793616706521</v>
      </c>
      <c r="T127" s="50">
        <v>0.95200324259588864</v>
      </c>
      <c r="U127" s="50">
        <v>1.0187275897448116</v>
      </c>
      <c r="V127" s="50">
        <v>0.92356711511480438</v>
      </c>
      <c r="W127" s="50">
        <v>0.8794870325127695</v>
      </c>
      <c r="X127" s="50">
        <v>0.8794870325127695</v>
      </c>
      <c r="Y127" s="50">
        <v>0.99575812576243883</v>
      </c>
      <c r="Z127" s="50">
        <v>0.99575812576243883</v>
      </c>
    </row>
    <row r="128" spans="19:26">
      <c r="S128" s="50">
        <v>0.95244864034170595</v>
      </c>
      <c r="T128" s="50">
        <v>0.93736184474436401</v>
      </c>
      <c r="U128" s="50">
        <v>0.91320712180969843</v>
      </c>
      <c r="V128" s="50">
        <v>0.89678158471372493</v>
      </c>
      <c r="W128" s="50">
        <v>0.68566680408519987</v>
      </c>
      <c r="X128" s="50">
        <v>0.68566680408519987</v>
      </c>
      <c r="Y128" s="50">
        <v>0.96562543007610913</v>
      </c>
      <c r="Z128" s="50">
        <v>0.96562543007610913</v>
      </c>
    </row>
    <row r="129" spans="19:26">
      <c r="S129" s="50">
        <v>0.9613467899319641</v>
      </c>
      <c r="T129" s="50">
        <v>0.94893879677809234</v>
      </c>
      <c r="U129" s="50">
        <v>1.0031603924595573</v>
      </c>
      <c r="V129" s="50">
        <v>0.97538540072941049</v>
      </c>
      <c r="W129" s="50">
        <v>0.72052324064383599</v>
      </c>
      <c r="X129" s="50">
        <v>0.72052324064383599</v>
      </c>
      <c r="Y129" s="50">
        <v>0.99196498850982906</v>
      </c>
      <c r="Z129" s="50">
        <v>0.99196498850982906</v>
      </c>
    </row>
    <row r="130" spans="19:26">
      <c r="S130" s="50">
        <v>0.95110382312255937</v>
      </c>
      <c r="T130" s="50">
        <v>0.9356409323081103</v>
      </c>
      <c r="U130" s="50">
        <v>0.96627461560854544</v>
      </c>
      <c r="V130" s="50">
        <v>1.0210897890415993</v>
      </c>
      <c r="W130" s="50">
        <v>0.78147127623970536</v>
      </c>
      <c r="X130" s="50">
        <v>0.78147127623970536</v>
      </c>
      <c r="Y130" s="50">
        <v>0.96016306083475245</v>
      </c>
      <c r="Z130" s="50">
        <v>0.96016306083475245</v>
      </c>
    </row>
    <row r="131" spans="19:26">
      <c r="S131" s="50">
        <v>0.95917056839804005</v>
      </c>
      <c r="T131" s="50">
        <v>0.94611041204186386</v>
      </c>
      <c r="U131" s="50">
        <v>1.02473514993745</v>
      </c>
      <c r="V131" s="50">
        <v>0.9224510361996775</v>
      </c>
      <c r="W131" s="50">
        <v>0.75930679231460452</v>
      </c>
      <c r="X131" s="50">
        <v>0.75930679231460452</v>
      </c>
      <c r="Y131" s="50">
        <v>0.98258808875391557</v>
      </c>
      <c r="Z131" s="50">
        <v>0.98258808875391557</v>
      </c>
    </row>
    <row r="132" spans="19:26">
      <c r="S132" s="50">
        <v>0.96298146364397075</v>
      </c>
      <c r="T132" s="50">
        <v>0.95108259788553073</v>
      </c>
      <c r="U132" s="50">
        <v>0.86558661902428757</v>
      </c>
      <c r="V132" s="50">
        <v>1.1249493519675671</v>
      </c>
      <c r="W132" s="50">
        <v>0.78852042602605243</v>
      </c>
      <c r="X132" s="50">
        <v>0.78852042602605243</v>
      </c>
      <c r="Y132" s="50">
        <v>0.99583754016945336</v>
      </c>
      <c r="Z132" s="50">
        <v>0.99583754016945336</v>
      </c>
    </row>
    <row r="133" spans="19:26">
      <c r="S133" s="50">
        <v>0.9619930134681236</v>
      </c>
      <c r="T133" s="50">
        <v>0.94979902929397209</v>
      </c>
      <c r="U133" s="50">
        <v>0.95427725353843851</v>
      </c>
      <c r="V133" s="50">
        <v>0.91714886371696802</v>
      </c>
      <c r="W133" s="50">
        <v>0.83144517969405773</v>
      </c>
      <c r="X133" s="50">
        <v>0.83144517969405773</v>
      </c>
      <c r="Y133" s="50">
        <v>0.99044465319984731</v>
      </c>
      <c r="Z133" s="50">
        <v>0.99044465319984731</v>
      </c>
    </row>
    <row r="134" spans="19:26">
      <c r="S134" s="50">
        <v>0.95745318984002559</v>
      </c>
      <c r="T134" s="50">
        <v>0.94387895492588503</v>
      </c>
      <c r="U134" s="50">
        <v>0.91593197930255876</v>
      </c>
      <c r="V134" s="50">
        <v>0.97842785262482501</v>
      </c>
      <c r="W134" s="50">
        <v>0.77688717273081742</v>
      </c>
      <c r="X134" s="50">
        <v>0.77688717273081742</v>
      </c>
      <c r="Y134" s="50">
        <v>0.97658385662354474</v>
      </c>
      <c r="Z134" s="50">
        <v>0.97658385662354474</v>
      </c>
    </row>
    <row r="135" spans="19:26">
      <c r="S135" s="50">
        <v>0.96231937627683584</v>
      </c>
      <c r="T135" s="50">
        <v>0.95021845560649798</v>
      </c>
      <c r="U135" s="50">
        <v>0.9199122675907343</v>
      </c>
      <c r="V135" s="50">
        <v>1.0655231254290902</v>
      </c>
      <c r="W135" s="50">
        <v>0.78689818862934258</v>
      </c>
      <c r="X135" s="50">
        <v>0.78689818862934258</v>
      </c>
      <c r="Y135" s="50">
        <v>0.99319076734011236</v>
      </c>
      <c r="Z135" s="50">
        <v>0.99319076734011236</v>
      </c>
    </row>
    <row r="136" spans="19:26">
      <c r="S136" s="50">
        <v>0.96304119239441444</v>
      </c>
      <c r="T136" s="50">
        <v>0.95116808978518097</v>
      </c>
      <c r="U136" s="50">
        <v>1.0416450911295998</v>
      </c>
      <c r="V136" s="50">
        <v>1.0516422452266021</v>
      </c>
      <c r="W136" s="50">
        <v>0.84460588375970436</v>
      </c>
      <c r="X136" s="50">
        <v>0.84460588375970436</v>
      </c>
      <c r="Y136" s="50">
        <v>0.99417848026019917</v>
      </c>
      <c r="Z136" s="50">
        <v>0.99417848026019917</v>
      </c>
    </row>
    <row r="137" spans="19:26">
      <c r="S137" s="50">
        <v>0.96060240036425237</v>
      </c>
      <c r="T137" s="50">
        <v>0.94797784701175358</v>
      </c>
      <c r="U137" s="50">
        <v>0.92793264437403811</v>
      </c>
      <c r="V137" s="50">
        <v>0.92394876336615095</v>
      </c>
      <c r="W137" s="50">
        <v>0.77403818160198734</v>
      </c>
      <c r="X137" s="50">
        <v>0.77403818160198734</v>
      </c>
      <c r="Y137" s="50">
        <v>0.98709653339732872</v>
      </c>
      <c r="Z137" s="50">
        <v>0.98709653339732872</v>
      </c>
    </row>
    <row r="138" spans="19:26">
      <c r="S138" s="50">
        <v>0.96233533639783175</v>
      </c>
      <c r="T138" s="50">
        <v>0.95024247776890947</v>
      </c>
      <c r="U138" s="50">
        <v>0.94654821020425106</v>
      </c>
      <c r="V138" s="50">
        <v>0.95447622101170171</v>
      </c>
      <c r="W138" s="50">
        <v>0.80907396179334512</v>
      </c>
      <c r="X138" s="50">
        <v>0.80907396179334512</v>
      </c>
      <c r="Y138" s="50">
        <v>0.9924866787600799</v>
      </c>
      <c r="Z138" s="50">
        <v>0.9924866787600799</v>
      </c>
    </row>
    <row r="139" spans="19:26">
      <c r="S139" s="50">
        <v>0.96217177146782951</v>
      </c>
      <c r="T139" s="50">
        <v>0.95001578933820741</v>
      </c>
      <c r="U139" s="50">
        <v>0.90094770662622636</v>
      </c>
      <c r="V139" s="50">
        <v>0.8778159826120876</v>
      </c>
      <c r="W139" s="50">
        <v>0.72570902293811046</v>
      </c>
      <c r="X139" s="50">
        <v>0.72570902293811046</v>
      </c>
      <c r="Y139" s="50">
        <v>0.99505619048146543</v>
      </c>
      <c r="Z139" s="50">
        <v>0.99505619048146543</v>
      </c>
    </row>
    <row r="140" spans="19:26">
      <c r="S140" s="50">
        <v>0.96362843114002317</v>
      </c>
      <c r="T140" s="50">
        <v>0.95192451094583685</v>
      </c>
      <c r="U140" s="50">
        <v>0.93301719567344166</v>
      </c>
      <c r="V140" s="50">
        <v>1.0321374814721136</v>
      </c>
      <c r="W140" s="50">
        <v>0.77073752334026313</v>
      </c>
      <c r="X140" s="50">
        <v>0.77073752334026313</v>
      </c>
      <c r="Y140" s="50">
        <v>0.99931163613075058</v>
      </c>
      <c r="Z140" s="50">
        <v>0.99931163613075058</v>
      </c>
    </row>
    <row r="141" spans="19:26">
      <c r="S141" s="50">
        <v>0.96312841716278208</v>
      </c>
      <c r="T141" s="50">
        <v>0.95126324612448832</v>
      </c>
      <c r="U141" s="50">
        <v>0.96255008612740234</v>
      </c>
      <c r="V141" s="50">
        <v>0.8905028769917781</v>
      </c>
      <c r="W141" s="50">
        <v>0.71996896437458258</v>
      </c>
      <c r="X141" s="50">
        <v>0.71996896437458258</v>
      </c>
      <c r="Y141" s="50">
        <v>0.9994070477393171</v>
      </c>
      <c r="Z141" s="50">
        <v>0.9994070477393171</v>
      </c>
    </row>
    <row r="142" spans="19:26">
      <c r="S142" s="50">
        <v>0.95956598185066422</v>
      </c>
      <c r="T142" s="50">
        <v>0.94661708786706933</v>
      </c>
      <c r="U142" s="50">
        <v>0.885056612498341</v>
      </c>
      <c r="V142" s="50">
        <v>0.90677587472109844</v>
      </c>
      <c r="W142" s="50">
        <v>0.71555763584767451</v>
      </c>
      <c r="X142" s="50">
        <v>0.71555763584767451</v>
      </c>
      <c r="Y142" s="50">
        <v>0.98553454769205584</v>
      </c>
      <c r="Z142" s="50">
        <v>0.98553454769205584</v>
      </c>
    </row>
    <row r="143" spans="19:26">
      <c r="S143" s="50">
        <v>0.95929812842559303</v>
      </c>
      <c r="T143" s="50">
        <v>0.94626040271374978</v>
      </c>
      <c r="U143" s="50">
        <v>0.93409980443916096</v>
      </c>
      <c r="V143" s="50">
        <v>1.2475071664276753</v>
      </c>
      <c r="W143" s="50">
        <v>0.67916012374570878</v>
      </c>
      <c r="X143" s="50">
        <v>0.67916012374570878</v>
      </c>
      <c r="Y143" s="50">
        <v>0.98613939873222878</v>
      </c>
      <c r="Z143" s="50">
        <v>0.98613939873222878</v>
      </c>
    </row>
    <row r="144" spans="19:26">
      <c r="S144" s="50">
        <v>0.96376502663876651</v>
      </c>
      <c r="T144" s="50">
        <v>0.95210272888808067</v>
      </c>
      <c r="U144" s="50">
        <v>1.0010072212207521</v>
      </c>
      <c r="V144" s="50">
        <v>0.97995124188111782</v>
      </c>
      <c r="W144" s="50">
        <v>0.76976441015654928</v>
      </c>
      <c r="X144" s="50">
        <v>0.76976441015654928</v>
      </c>
      <c r="Y144" s="50">
        <v>0.99995657094353652</v>
      </c>
      <c r="Z144" s="50">
        <v>0.99995657094353652</v>
      </c>
    </row>
    <row r="145" spans="19:26">
      <c r="S145" s="50">
        <v>0.95818255982041245</v>
      </c>
      <c r="T145" s="50">
        <v>0.9448180782149459</v>
      </c>
      <c r="U145" s="50">
        <v>0.93192297442723004</v>
      </c>
      <c r="V145" s="50">
        <v>1.1856197307277616</v>
      </c>
      <c r="W145" s="50">
        <v>0.72521683086876643</v>
      </c>
      <c r="X145" s="50">
        <v>0.72521683086876643</v>
      </c>
      <c r="Y145" s="50">
        <v>0.98048806091607765</v>
      </c>
      <c r="Z145" s="50">
        <v>0.98048806091607765</v>
      </c>
    </row>
    <row r="146" spans="19:26">
      <c r="S146" s="50">
        <v>0.96397033533449394</v>
      </c>
      <c r="T146" s="50">
        <v>0.95237732865474978</v>
      </c>
      <c r="U146" s="50">
        <v>1.0323541817258768</v>
      </c>
      <c r="V146" s="50">
        <v>0.97846650095948084</v>
      </c>
      <c r="W146" s="50">
        <v>0.8157606958139314</v>
      </c>
      <c r="X146" s="50">
        <v>0.8157606958139314</v>
      </c>
      <c r="Y146" s="50">
        <v>0.99906494464571294</v>
      </c>
      <c r="Z146" s="50">
        <v>0.99906494464571294</v>
      </c>
    </row>
    <row r="147" spans="19:26">
      <c r="S147" s="50">
        <v>0.95958392113985602</v>
      </c>
      <c r="T147" s="50">
        <v>0.94664678894790411</v>
      </c>
      <c r="U147" s="50">
        <v>0.86624758850356687</v>
      </c>
      <c r="V147" s="50">
        <v>0.81171687919013347</v>
      </c>
      <c r="W147" s="50">
        <v>0.74889188113871696</v>
      </c>
      <c r="X147" s="50">
        <v>0.74889188113871696</v>
      </c>
      <c r="Y147" s="50">
        <v>0.98435161414847017</v>
      </c>
      <c r="Z147" s="50">
        <v>0.98435161414847017</v>
      </c>
    </row>
    <row r="148" spans="19:26">
      <c r="S148" s="50">
        <v>0.9589695381960408</v>
      </c>
      <c r="T148" s="50">
        <v>0.94584444300627757</v>
      </c>
      <c r="U148" s="50">
        <v>0.97253202465007138</v>
      </c>
      <c r="V148" s="50">
        <v>1.0224035555290403</v>
      </c>
      <c r="W148" s="50">
        <v>0.73601241571780696</v>
      </c>
      <c r="X148" s="50">
        <v>0.73601241571780696</v>
      </c>
      <c r="Y148" s="50">
        <v>0.98270640171106993</v>
      </c>
      <c r="Z148" s="50">
        <v>0.98270640171106993</v>
      </c>
    </row>
    <row r="149" spans="19:26">
      <c r="S149" s="50">
        <v>0.96062577782211878</v>
      </c>
      <c r="T149" s="50">
        <v>0.94801867493640601</v>
      </c>
      <c r="U149" s="50">
        <v>0.97714290406683668</v>
      </c>
      <c r="V149" s="50">
        <v>0.79344952033835503</v>
      </c>
      <c r="W149" s="50">
        <v>0.84516928999930063</v>
      </c>
      <c r="X149" s="50">
        <v>0.84516928999930063</v>
      </c>
      <c r="Y149" s="50">
        <v>0.98504857399368151</v>
      </c>
      <c r="Z149" s="50">
        <v>0.98504857399368151</v>
      </c>
    </row>
    <row r="150" spans="19:26">
      <c r="S150" s="50">
        <v>0.96111187035671408</v>
      </c>
      <c r="T150" s="50">
        <v>0.94864032858860614</v>
      </c>
      <c r="U150" s="50">
        <v>0.96151530819949138</v>
      </c>
      <c r="V150" s="50">
        <v>1.1448829975163985</v>
      </c>
      <c r="W150" s="50">
        <v>0.7647138695142458</v>
      </c>
      <c r="X150" s="50">
        <v>0.7647138695142458</v>
      </c>
      <c r="Y150" s="50">
        <v>0.98930498078827045</v>
      </c>
      <c r="Z150" s="50">
        <v>0.98930498078827045</v>
      </c>
    </row>
    <row r="151" spans="19:26">
      <c r="S151" s="50">
        <v>0.9609593999620607</v>
      </c>
      <c r="T151" s="50">
        <v>0.94844388971025229</v>
      </c>
      <c r="U151" s="50">
        <v>0.96325880743397652</v>
      </c>
      <c r="V151" s="50">
        <v>1.0798046690755505</v>
      </c>
      <c r="W151" s="50">
        <v>0.77896951090916189</v>
      </c>
      <c r="X151" s="50">
        <v>0.77896951090916189</v>
      </c>
      <c r="Y151" s="50">
        <v>0.98823642214908225</v>
      </c>
      <c r="Z151" s="50">
        <v>0.98823642214908225</v>
      </c>
    </row>
    <row r="152" spans="19:26">
      <c r="S152" s="50">
        <v>0.96272149433583698</v>
      </c>
      <c r="T152" s="50">
        <v>0.95075010129852766</v>
      </c>
      <c r="U152" s="50">
        <v>0.93631006049464627</v>
      </c>
      <c r="V152" s="50">
        <v>0.97772256955254089</v>
      </c>
      <c r="W152" s="50">
        <v>0.83794690059398291</v>
      </c>
      <c r="X152" s="50">
        <v>0.83794690059398291</v>
      </c>
      <c r="Y152" s="50">
        <v>0.99309591470074698</v>
      </c>
      <c r="Z152" s="50">
        <v>0.99309591470074698</v>
      </c>
    </row>
    <row r="153" spans="19:26">
      <c r="S153" s="50">
        <v>0.9593668407389967</v>
      </c>
      <c r="T153" s="50">
        <v>0.94638105528932148</v>
      </c>
      <c r="U153" s="50">
        <v>0.92281381161149822</v>
      </c>
      <c r="V153" s="50">
        <v>0.77896794729517438</v>
      </c>
      <c r="W153" s="50">
        <v>0.8596178312446624</v>
      </c>
      <c r="X153" s="50">
        <v>0.8596178312446624</v>
      </c>
      <c r="Y153" s="50">
        <v>0.98044991685407368</v>
      </c>
      <c r="Z153" s="50">
        <v>0.98044991685407368</v>
      </c>
    </row>
    <row r="154" spans="19:26">
      <c r="S154" s="50">
        <v>0.96156004255912397</v>
      </c>
      <c r="T154" s="50">
        <v>0.94923831801189806</v>
      </c>
      <c r="U154" s="50">
        <v>0.93734180740324446</v>
      </c>
      <c r="V154" s="50">
        <v>0.99877301223893522</v>
      </c>
      <c r="W154" s="50">
        <v>0.86150069845973931</v>
      </c>
      <c r="X154" s="50">
        <v>0.86150069845973931</v>
      </c>
      <c r="Y154" s="50">
        <v>0.98796774979420632</v>
      </c>
      <c r="Z154" s="50">
        <v>0.98796774979420632</v>
      </c>
    </row>
    <row r="155" spans="19:26">
      <c r="S155" s="50">
        <v>0.96097438772738653</v>
      </c>
      <c r="T155" s="50">
        <v>0.94846268689520019</v>
      </c>
      <c r="U155" s="50">
        <v>1.0354151391346145</v>
      </c>
      <c r="V155" s="50">
        <v>1.2842545585824257</v>
      </c>
      <c r="W155" s="50">
        <v>0.77433847567321246</v>
      </c>
      <c r="X155" s="50">
        <v>0.77433847567321246</v>
      </c>
      <c r="Y155" s="50">
        <v>0.98845077964940342</v>
      </c>
      <c r="Z155" s="50">
        <v>0.98845077964940342</v>
      </c>
    </row>
    <row r="156" spans="19:26">
      <c r="S156" s="50">
        <v>0.95911543414963407</v>
      </c>
      <c r="T156" s="50">
        <v>0.94605267698453444</v>
      </c>
      <c r="U156" s="50">
        <v>1.0649623903781829</v>
      </c>
      <c r="V156" s="50">
        <v>0.97100858484333208</v>
      </c>
      <c r="W156" s="50">
        <v>0.85095567682867002</v>
      </c>
      <c r="X156" s="50">
        <v>0.85095567682867002</v>
      </c>
      <c r="Y156" s="50">
        <v>0.97984567407454048</v>
      </c>
      <c r="Z156" s="50">
        <v>0.97984567407454048</v>
      </c>
    </row>
    <row r="157" spans="19:26">
      <c r="S157" s="50">
        <v>0.96353997603517172</v>
      </c>
      <c r="T157" s="50">
        <v>0.95180871734463746</v>
      </c>
      <c r="U157" s="50">
        <v>1.0302608883576783</v>
      </c>
      <c r="V157" s="50">
        <v>0.90105626614851841</v>
      </c>
      <c r="W157" s="50">
        <v>0.76878487933599005</v>
      </c>
      <c r="X157" s="50">
        <v>0.76878487933599005</v>
      </c>
      <c r="Y157" s="50">
        <v>0.99900458407828907</v>
      </c>
      <c r="Z157" s="50">
        <v>0.99900458407828907</v>
      </c>
    </row>
    <row r="158" spans="19:26">
      <c r="S158" s="50">
        <v>0.96265696102605525</v>
      </c>
      <c r="T158" s="50">
        <v>0.95065146798083222</v>
      </c>
      <c r="U158" s="50">
        <v>0.91818216279360498</v>
      </c>
      <c r="V158" s="50">
        <v>0.93879505703380883</v>
      </c>
      <c r="W158" s="50">
        <v>0.74032463616128752</v>
      </c>
      <c r="X158" s="50">
        <v>0.74032463616128752</v>
      </c>
      <c r="Y158" s="50">
        <v>0.99642860277285061</v>
      </c>
      <c r="Z158" s="50">
        <v>0.99642860277285061</v>
      </c>
    </row>
    <row r="159" spans="19:26">
      <c r="S159" s="50">
        <v>0.96424916304442077</v>
      </c>
      <c r="T159" s="50">
        <v>0.95274264173161805</v>
      </c>
      <c r="U159" s="50">
        <v>1.0273156586000798</v>
      </c>
      <c r="V159" s="50">
        <v>0.91945173080134168</v>
      </c>
      <c r="W159" s="50">
        <v>0.82483393236910618</v>
      </c>
      <c r="X159" s="50">
        <v>0.82483393236910618</v>
      </c>
      <c r="Y159" s="50">
        <v>0.99996891275925193</v>
      </c>
      <c r="Z159" s="50">
        <v>0.99996891275925193</v>
      </c>
    </row>
    <row r="160" spans="19:26">
      <c r="S160" s="50">
        <v>0.96070761951598838</v>
      </c>
      <c r="T160" s="50">
        <v>0.94810445846385316</v>
      </c>
      <c r="U160" s="50">
        <v>0.97163942493287581</v>
      </c>
      <c r="V160" s="50">
        <v>0.87705243451330628</v>
      </c>
      <c r="W160" s="50">
        <v>0.71504277093321422</v>
      </c>
      <c r="X160" s="50">
        <v>0.71504277093321422</v>
      </c>
      <c r="Y160" s="50">
        <v>0.98973552802255393</v>
      </c>
      <c r="Z160" s="50">
        <v>0.98973552802255393</v>
      </c>
    </row>
    <row r="161" spans="19:26">
      <c r="S161" s="50">
        <v>0.96290571593765639</v>
      </c>
      <c r="T161" s="50">
        <v>0.95098600046884019</v>
      </c>
      <c r="U161" s="50">
        <v>0.96715133654563246</v>
      </c>
      <c r="V161" s="50">
        <v>0.84831354390863811</v>
      </c>
      <c r="W161" s="50">
        <v>0.80431680035805497</v>
      </c>
      <c r="X161" s="50">
        <v>0.80431680035805497</v>
      </c>
      <c r="Y161" s="50">
        <v>0.99495146210049823</v>
      </c>
      <c r="Z161" s="50">
        <v>0.99495146210049823</v>
      </c>
    </row>
    <row r="162" spans="19:26">
      <c r="S162" s="50">
        <v>0.96218786670833367</v>
      </c>
      <c r="T162" s="50">
        <v>0.95004779414498841</v>
      </c>
      <c r="U162" s="50">
        <v>1.0539099012791251</v>
      </c>
      <c r="V162" s="50">
        <v>1.0915175903898129</v>
      </c>
      <c r="W162" s="50">
        <v>0.79288862843078112</v>
      </c>
      <c r="X162" s="50">
        <v>0.79288862843078112</v>
      </c>
      <c r="Y162" s="50">
        <v>0.99245494717181981</v>
      </c>
      <c r="Z162" s="50">
        <v>0.99245494717181981</v>
      </c>
    </row>
    <row r="163" spans="19:26">
      <c r="S163" s="50">
        <v>0.96210760393830286</v>
      </c>
      <c r="T163" s="50">
        <v>0.94993852673520351</v>
      </c>
      <c r="U163" s="50">
        <v>0.96205781999918949</v>
      </c>
      <c r="V163" s="50">
        <v>1.010089529018612</v>
      </c>
      <c r="W163" s="50">
        <v>0.76324350004244812</v>
      </c>
      <c r="X163" s="50">
        <v>0.76324350004244812</v>
      </c>
      <c r="Y163" s="50">
        <v>0.99322601386190568</v>
      </c>
      <c r="Z163" s="50">
        <v>0.99322601386190568</v>
      </c>
    </row>
    <row r="164" spans="19:26">
      <c r="S164" s="50">
        <v>0.95869060226106373</v>
      </c>
      <c r="T164" s="50">
        <v>0.94548876253733571</v>
      </c>
      <c r="U164" s="50">
        <v>0.98498812360844057</v>
      </c>
      <c r="V164" s="50">
        <v>0.94724449362778373</v>
      </c>
      <c r="W164" s="50">
        <v>0.77739333285192058</v>
      </c>
      <c r="X164" s="50">
        <v>0.77739333285192058</v>
      </c>
      <c r="Y164" s="50">
        <v>0.98043886803577129</v>
      </c>
      <c r="Z164" s="50">
        <v>0.98043886803577129</v>
      </c>
    </row>
    <row r="165" spans="19:26">
      <c r="S165" s="50">
        <v>0.96140820161897689</v>
      </c>
      <c r="T165" s="50">
        <v>0.94901350630959513</v>
      </c>
      <c r="U165" s="50">
        <v>0.93703771880994935</v>
      </c>
      <c r="V165" s="50">
        <v>0.84744368406923865</v>
      </c>
      <c r="W165" s="50">
        <v>0.69345885590488154</v>
      </c>
      <c r="X165" s="50">
        <v>0.69345885590488154</v>
      </c>
      <c r="Y165" s="50">
        <v>0.99346336368608212</v>
      </c>
      <c r="Z165" s="50">
        <v>0.99346336368608212</v>
      </c>
    </row>
    <row r="166" spans="19:26">
      <c r="S166" s="50">
        <v>0.95962267351055097</v>
      </c>
      <c r="T166" s="50">
        <v>0.94670753818752906</v>
      </c>
      <c r="U166" s="50">
        <v>0.92477364657552741</v>
      </c>
      <c r="V166" s="50">
        <v>0.89221317739314687</v>
      </c>
      <c r="W166" s="50">
        <v>0.81201608768367861</v>
      </c>
      <c r="X166" s="50">
        <v>0.81201608768367861</v>
      </c>
      <c r="Y166" s="50">
        <v>0.98251142047947881</v>
      </c>
      <c r="Z166" s="50">
        <v>0.98251142047947881</v>
      </c>
    </row>
    <row r="167" spans="19:26">
      <c r="S167" s="50">
        <v>0.95855571764498859</v>
      </c>
      <c r="T167" s="50">
        <v>0.9453249337395615</v>
      </c>
      <c r="U167" s="50">
        <v>1.0927834909747918</v>
      </c>
      <c r="V167" s="50">
        <v>0.85040793631304945</v>
      </c>
      <c r="W167" s="50">
        <v>0.85549232466175595</v>
      </c>
      <c r="X167" s="50">
        <v>0.85549232466175595</v>
      </c>
      <c r="Y167" s="50">
        <v>0.9779780204055768</v>
      </c>
      <c r="Z167" s="50">
        <v>0.9779780204055768</v>
      </c>
    </row>
    <row r="168" spans="19:26">
      <c r="S168" s="50">
        <v>0.94699622239423475</v>
      </c>
      <c r="T168" s="50">
        <v>0.93033299870769526</v>
      </c>
      <c r="U168" s="50">
        <v>0.92730803006540796</v>
      </c>
      <c r="V168" s="50">
        <v>0.92945161888064698</v>
      </c>
      <c r="W168" s="50">
        <v>0.79873210833189967</v>
      </c>
      <c r="X168" s="50">
        <v>0.79873210833189967</v>
      </c>
      <c r="Y168" s="50">
        <v>0.95170071891516128</v>
      </c>
      <c r="Z168" s="50">
        <v>0.95170071891516128</v>
      </c>
    </row>
    <row r="169" spans="19:26">
      <c r="S169" s="50">
        <v>0.96095475983444667</v>
      </c>
      <c r="T169" s="50">
        <v>0.94844591084955887</v>
      </c>
      <c r="U169" s="50">
        <v>0.89118526150784383</v>
      </c>
      <c r="V169" s="50">
        <v>0.92121972106662486</v>
      </c>
      <c r="W169" s="50">
        <v>0.83435429933841965</v>
      </c>
      <c r="X169" s="50">
        <v>0.83435429933841965</v>
      </c>
      <c r="Y169" s="50">
        <v>0.98650999373874015</v>
      </c>
      <c r="Z169" s="50">
        <v>0.98650999373874015</v>
      </c>
    </row>
    <row r="170" spans="19:26">
      <c r="S170" s="50">
        <v>0.96287294330338935</v>
      </c>
      <c r="T170" s="50">
        <v>0.95094586824312666</v>
      </c>
      <c r="U170" s="50">
        <v>1.003699417870467</v>
      </c>
      <c r="V170" s="50">
        <v>0.93008067369977132</v>
      </c>
      <c r="W170" s="50">
        <v>0.82372108884104522</v>
      </c>
      <c r="X170" s="50">
        <v>0.82372108884104522</v>
      </c>
      <c r="Y170" s="50">
        <v>0.99415911925403444</v>
      </c>
      <c r="Z170" s="50">
        <v>0.99415911925403444</v>
      </c>
    </row>
    <row r="171" spans="19:26">
      <c r="S171" s="50">
        <v>0.96121678130261101</v>
      </c>
      <c r="T171" s="50">
        <v>0.94877007994983931</v>
      </c>
      <c r="U171" s="50">
        <v>0.899279786502173</v>
      </c>
      <c r="V171" s="50">
        <v>0.87843544772816606</v>
      </c>
      <c r="W171" s="50">
        <v>0.72476960592973916</v>
      </c>
      <c r="X171" s="50">
        <v>0.72476960592973916</v>
      </c>
      <c r="Y171" s="50">
        <v>0.99127388300437591</v>
      </c>
      <c r="Z171" s="50">
        <v>0.99127388300437591</v>
      </c>
    </row>
    <row r="172" spans="19:26">
      <c r="S172" s="50">
        <v>0.95244542711841307</v>
      </c>
      <c r="T172" s="50">
        <v>0.93738814606617571</v>
      </c>
      <c r="U172" s="50">
        <v>0.91732631490681971</v>
      </c>
      <c r="V172" s="50">
        <v>0.90518673601367672</v>
      </c>
      <c r="W172" s="50">
        <v>0.83475040683287594</v>
      </c>
      <c r="X172" s="50">
        <v>0.83475040683287594</v>
      </c>
      <c r="Y172" s="50">
        <v>0.96216329462823169</v>
      </c>
      <c r="Z172" s="50">
        <v>0.96216329462823169</v>
      </c>
    </row>
    <row r="173" spans="19:26">
      <c r="S173" s="50">
        <v>0.95993010345865015</v>
      </c>
      <c r="T173" s="50">
        <v>0.94709872752327751</v>
      </c>
      <c r="U173" s="50">
        <v>0.97327164567145519</v>
      </c>
      <c r="V173" s="50">
        <v>0.83282003703811991</v>
      </c>
      <c r="W173" s="50">
        <v>0.7548532882041824</v>
      </c>
      <c r="X173" s="50">
        <v>0.7548532882041824</v>
      </c>
      <c r="Y173" s="50">
        <v>0.98535277013637268</v>
      </c>
      <c r="Z173" s="50">
        <v>0.98535277013637268</v>
      </c>
    </row>
    <row r="174" spans="19:26">
      <c r="S174" s="50">
        <v>0.96294373705728087</v>
      </c>
      <c r="T174" s="50">
        <v>0.95102387036019287</v>
      </c>
      <c r="U174" s="50">
        <v>0.91918457068176773</v>
      </c>
      <c r="V174" s="50">
        <v>0.87920074634733236</v>
      </c>
      <c r="W174" s="50">
        <v>0.72949790697219008</v>
      </c>
      <c r="X174" s="50">
        <v>0.72949790697219008</v>
      </c>
      <c r="Y174" s="50">
        <v>0.99814338404454761</v>
      </c>
      <c r="Z174" s="50">
        <v>0.99814338404454761</v>
      </c>
    </row>
    <row r="175" spans="19:26">
      <c r="S175" s="50">
        <v>0.9611176187211059</v>
      </c>
      <c r="T175" s="50">
        <v>0.94864985232350729</v>
      </c>
      <c r="U175" s="50">
        <v>1.0074126275026738</v>
      </c>
      <c r="V175" s="50">
        <v>0.97979659327480917</v>
      </c>
      <c r="W175" s="50">
        <v>0.7772793198851774</v>
      </c>
      <c r="X175" s="50">
        <v>0.7772793198851774</v>
      </c>
      <c r="Y175" s="50">
        <v>0.98888227876624646</v>
      </c>
      <c r="Z175" s="50">
        <v>0.98888227876624646</v>
      </c>
    </row>
    <row r="176" spans="19:26">
      <c r="S176" s="50">
        <v>0.95939233394971024</v>
      </c>
      <c r="T176" s="50">
        <v>0.94638365391463186</v>
      </c>
      <c r="U176" s="50">
        <v>0.956716822879212</v>
      </c>
      <c r="V176" s="50">
        <v>1.056372384879716</v>
      </c>
      <c r="W176" s="50">
        <v>0.68159143997861849</v>
      </c>
      <c r="X176" s="50">
        <v>0.68159143997861849</v>
      </c>
      <c r="Y176" s="50">
        <v>0.98636548669309709</v>
      </c>
      <c r="Z176" s="50">
        <v>0.98636548669309709</v>
      </c>
    </row>
    <row r="177" spans="19:26">
      <c r="S177" s="50">
        <v>0.96147837740076791</v>
      </c>
      <c r="T177" s="50">
        <v>0.94911751938244004</v>
      </c>
      <c r="U177" s="50">
        <v>0.93506838479322107</v>
      </c>
      <c r="V177" s="50">
        <v>1.0356682715127767</v>
      </c>
      <c r="W177" s="50">
        <v>0.76085975427848884</v>
      </c>
      <c r="X177" s="50">
        <v>0.76085975427848884</v>
      </c>
      <c r="Y177" s="50">
        <v>0.99084325961185848</v>
      </c>
      <c r="Z177" s="50">
        <v>0.99084325961185848</v>
      </c>
    </row>
    <row r="178" spans="19:26">
      <c r="S178" s="50">
        <v>0.96017838589445448</v>
      </c>
      <c r="T178" s="50">
        <v>0.94741559146043575</v>
      </c>
      <c r="U178" s="50">
        <v>0.96326079413347376</v>
      </c>
      <c r="V178" s="50">
        <v>1.0495536837838095</v>
      </c>
      <c r="W178" s="50">
        <v>0.71924470311071753</v>
      </c>
      <c r="X178" s="50">
        <v>0.71924470311071753</v>
      </c>
      <c r="Y178" s="50">
        <v>0.98758864167755356</v>
      </c>
      <c r="Z178" s="50">
        <v>0.98758864167755356</v>
      </c>
    </row>
    <row r="179" spans="19:26">
      <c r="S179" s="50">
        <v>0.96018544400042793</v>
      </c>
      <c r="T179" s="50">
        <v>0.94743638567479915</v>
      </c>
      <c r="U179" s="50">
        <v>0.95835742125778822</v>
      </c>
      <c r="V179" s="50">
        <v>1.1247731768852203</v>
      </c>
      <c r="W179" s="50">
        <v>0.78518895401308275</v>
      </c>
      <c r="X179" s="50">
        <v>0.78518895401308275</v>
      </c>
      <c r="Y179" s="50">
        <v>0.98524210228556564</v>
      </c>
      <c r="Z179" s="50">
        <v>0.98524210228556564</v>
      </c>
    </row>
    <row r="180" spans="19:26">
      <c r="S180" s="50">
        <v>0.96382602743203816</v>
      </c>
      <c r="T180" s="50">
        <v>0.95218686318299428</v>
      </c>
      <c r="U180" s="50">
        <v>0.93767072515863481</v>
      </c>
      <c r="V180" s="50">
        <v>0.74691892558883322</v>
      </c>
      <c r="W180" s="50">
        <v>0.80071797972804482</v>
      </c>
      <c r="X180" s="50">
        <v>0.80071797972804482</v>
      </c>
      <c r="Y180" s="50">
        <v>0.99898936361456847</v>
      </c>
      <c r="Z180" s="50">
        <v>0.99898936361456847</v>
      </c>
    </row>
    <row r="181" spans="19:26">
      <c r="S181" s="50">
        <v>0.96153002432847257</v>
      </c>
      <c r="T181" s="50">
        <v>0.94919022339477011</v>
      </c>
      <c r="U181" s="50">
        <v>0.96966366643172508</v>
      </c>
      <c r="V181" s="50">
        <v>0.79176428434836787</v>
      </c>
      <c r="W181" s="50">
        <v>0.79508404343277028</v>
      </c>
      <c r="X181" s="50">
        <v>0.79508404343277028</v>
      </c>
      <c r="Y181" s="50">
        <v>0.98983145207590328</v>
      </c>
      <c r="Z181" s="50">
        <v>0.98983145207590328</v>
      </c>
    </row>
    <row r="182" spans="19:26">
      <c r="S182" s="50">
        <v>0.96376507469422246</v>
      </c>
      <c r="T182" s="50">
        <v>0.95210492364361166</v>
      </c>
      <c r="U182" s="50">
        <v>0.925572773678626</v>
      </c>
      <c r="V182" s="50">
        <v>1.0317417155379169</v>
      </c>
      <c r="W182" s="50">
        <v>0.78412340535524738</v>
      </c>
      <c r="X182" s="50">
        <v>0.78412340535524738</v>
      </c>
      <c r="Y182" s="50">
        <v>0.99936699012248265</v>
      </c>
      <c r="Z182" s="50">
        <v>0.99936699012248265</v>
      </c>
    </row>
    <row r="183" spans="19:26">
      <c r="S183" s="50">
        <v>0.95879130722362238</v>
      </c>
      <c r="T183" s="50">
        <v>0.94561336786154515</v>
      </c>
      <c r="U183" s="50">
        <v>1.0985925110434751</v>
      </c>
      <c r="V183" s="50">
        <v>1.0215972419653172</v>
      </c>
      <c r="W183" s="50">
        <v>0.74095410201538825</v>
      </c>
      <c r="X183" s="50">
        <v>0.74095410201538825</v>
      </c>
      <c r="Y183" s="50">
        <v>0.98193728563372462</v>
      </c>
      <c r="Z183" s="50">
        <v>0.98193728563372462</v>
      </c>
    </row>
    <row r="184" spans="19:26">
      <c r="S184" s="50">
        <v>0.95569851213026691</v>
      </c>
      <c r="T184" s="50">
        <v>0.94159358502318691</v>
      </c>
      <c r="U184" s="50">
        <v>0.85184328974079582</v>
      </c>
      <c r="V184" s="50">
        <v>0.77064669577982492</v>
      </c>
      <c r="W184" s="50">
        <v>0.75001052785137545</v>
      </c>
      <c r="X184" s="50">
        <v>0.75001052785137545</v>
      </c>
      <c r="Y184" s="50">
        <v>0.97224165197516976</v>
      </c>
      <c r="Z184" s="50">
        <v>0.97224165197516976</v>
      </c>
    </row>
    <row r="185" spans="19:26">
      <c r="S185" s="50">
        <v>0.96189330164410902</v>
      </c>
      <c r="T185" s="50">
        <v>0.94964906244054392</v>
      </c>
      <c r="U185" s="50">
        <v>0.93922963807308224</v>
      </c>
      <c r="V185" s="50">
        <v>1.0194838391023067</v>
      </c>
      <c r="W185" s="50">
        <v>0.7074924548374214</v>
      </c>
      <c r="X185" s="50">
        <v>0.7074924548374214</v>
      </c>
      <c r="Y185" s="50">
        <v>0.99475556851409963</v>
      </c>
      <c r="Z185" s="50">
        <v>0.99475556851409963</v>
      </c>
    </row>
    <row r="186" spans="19:26">
      <c r="S186" s="50">
        <v>0.95635030571292812</v>
      </c>
      <c r="T186" s="50">
        <v>0.9424417862109038</v>
      </c>
      <c r="U186" s="50">
        <v>0.85572560204123116</v>
      </c>
      <c r="V186" s="50">
        <v>0.84530527273986078</v>
      </c>
      <c r="W186" s="50">
        <v>0.75729438975446595</v>
      </c>
      <c r="X186" s="50">
        <v>0.75729438975446595</v>
      </c>
      <c r="Y186" s="50">
        <v>0.97388248170959535</v>
      </c>
      <c r="Z186" s="50">
        <v>0.97388248170959535</v>
      </c>
    </row>
    <row r="187" spans="19:26">
      <c r="S187" s="50">
        <v>0.9562852735968479</v>
      </c>
      <c r="T187" s="50">
        <v>0.94234710726900872</v>
      </c>
      <c r="U187" s="50">
        <v>1.0129746052536117</v>
      </c>
      <c r="V187" s="50">
        <v>1.027728870402379</v>
      </c>
      <c r="W187" s="50">
        <v>0.70754409617028424</v>
      </c>
      <c r="X187" s="50">
        <v>0.70754409617028424</v>
      </c>
      <c r="Y187" s="50">
        <v>0.97523509271328779</v>
      </c>
      <c r="Z187" s="50">
        <v>0.97523509271328779</v>
      </c>
    </row>
    <row r="188" spans="19:26">
      <c r="S188" s="50">
        <v>0.91810282330930304</v>
      </c>
      <c r="T188" s="50">
        <v>0.89337213124050086</v>
      </c>
      <c r="U188" s="50">
        <v>0.7973369452582042</v>
      </c>
      <c r="V188" s="50">
        <v>0.72968840312642269</v>
      </c>
      <c r="W188" s="50">
        <v>0.77637185743738779</v>
      </c>
      <c r="X188" s="50">
        <v>0.77637185743738779</v>
      </c>
      <c r="Y188" s="50">
        <v>0.91950487751153198</v>
      </c>
      <c r="Z188" s="50">
        <v>0.91950487751153198</v>
      </c>
    </row>
    <row r="189" spans="19:26">
      <c r="S189" s="50">
        <v>0.96095495995918911</v>
      </c>
      <c r="T189" s="50">
        <v>0.94839833326135858</v>
      </c>
      <c r="U189" s="50">
        <v>1.0516263082417492</v>
      </c>
      <c r="V189" s="50">
        <v>1.1456303393315959</v>
      </c>
      <c r="W189" s="50">
        <v>0.59813152409845693</v>
      </c>
      <c r="X189" s="50">
        <v>0.59813152409845693</v>
      </c>
      <c r="Y189" s="50">
        <v>0.99740251521555412</v>
      </c>
      <c r="Z189" s="50">
        <v>0.99740251521555412</v>
      </c>
    </row>
    <row r="190" spans="19:26">
      <c r="S190" s="50">
        <v>0.96166979040539058</v>
      </c>
      <c r="T190" s="50">
        <v>0.94936315477027799</v>
      </c>
      <c r="U190" s="50">
        <v>0.89835252382523612</v>
      </c>
      <c r="V190" s="50">
        <v>1.0236343620620716</v>
      </c>
      <c r="W190" s="50">
        <v>0.73767256356672661</v>
      </c>
      <c r="X190" s="50">
        <v>0.73767256356672661</v>
      </c>
      <c r="Y190" s="50">
        <v>0.99250836480994575</v>
      </c>
      <c r="Z190" s="50">
        <v>0.99250836480994575</v>
      </c>
    </row>
    <row r="191" spans="19:26">
      <c r="S191" s="50">
        <v>0.96247473722061438</v>
      </c>
      <c r="T191" s="50">
        <v>0.95042341113575279</v>
      </c>
      <c r="U191" s="50">
        <v>0.91231860832901379</v>
      </c>
      <c r="V191" s="50">
        <v>0.91688831766383527</v>
      </c>
      <c r="W191" s="50">
        <v>0.80253552546636597</v>
      </c>
      <c r="X191" s="50">
        <v>0.80253552546636597</v>
      </c>
      <c r="Y191" s="50">
        <v>0.99326309362308951</v>
      </c>
      <c r="Z191" s="50">
        <v>0.99326309362308951</v>
      </c>
    </row>
    <row r="192" spans="19:26">
      <c r="S192" s="50">
        <v>0.95760296301637171</v>
      </c>
      <c r="T192" s="50">
        <v>0.94406203785559462</v>
      </c>
      <c r="U192" s="50">
        <v>0.98470777394872466</v>
      </c>
      <c r="V192" s="50">
        <v>0.86249990501952267</v>
      </c>
      <c r="W192" s="50">
        <v>0.71543129321249821</v>
      </c>
      <c r="X192" s="50">
        <v>0.71543129321249821</v>
      </c>
      <c r="Y192" s="50">
        <v>0.97898106382632188</v>
      </c>
      <c r="Z192" s="50">
        <v>0.97898106382632188</v>
      </c>
    </row>
    <row r="193" spans="19:26">
      <c r="S193" s="50">
        <v>0.9561895619397619</v>
      </c>
      <c r="T193" s="50">
        <v>0.9422414035761546</v>
      </c>
      <c r="U193" s="50">
        <v>0.95119143562811004</v>
      </c>
      <c r="V193" s="50">
        <v>0.89747653566521113</v>
      </c>
      <c r="W193" s="50">
        <v>0.80581157217588895</v>
      </c>
      <c r="X193" s="50">
        <v>0.80581157217588895</v>
      </c>
      <c r="Y193" s="50">
        <v>0.97217998984675869</v>
      </c>
      <c r="Z193" s="50">
        <v>0.97217998984675869</v>
      </c>
    </row>
    <row r="194" spans="19:26">
      <c r="S194" s="50">
        <v>0.94662590650112621</v>
      </c>
      <c r="T194" s="50">
        <v>0.92986392319466338</v>
      </c>
      <c r="U194" s="50">
        <v>0.77752499705649736</v>
      </c>
      <c r="V194" s="50">
        <v>0.82770351989891477</v>
      </c>
      <c r="W194" s="50">
        <v>0.84756376867449368</v>
      </c>
      <c r="X194" s="50">
        <v>0.84756376867449368</v>
      </c>
      <c r="Y194" s="50">
        <v>0.95035218734492033</v>
      </c>
      <c r="Z194" s="50">
        <v>0.95035218734492033</v>
      </c>
    </row>
    <row r="195" spans="19:26">
      <c r="S195" s="50">
        <v>0.96369051039600262</v>
      </c>
      <c r="T195" s="50">
        <v>0.95201139494193443</v>
      </c>
      <c r="U195" s="50">
        <v>1.0080013471404883</v>
      </c>
      <c r="V195" s="50">
        <v>0.87154042087500894</v>
      </c>
      <c r="W195" s="50">
        <v>0.81160027698963866</v>
      </c>
      <c r="X195" s="50">
        <v>0.81160027698963866</v>
      </c>
      <c r="Y195" s="50">
        <v>0.99799860124332485</v>
      </c>
      <c r="Z195" s="50">
        <v>0.99799860124332485</v>
      </c>
    </row>
    <row r="196" spans="19:26">
      <c r="S196" s="50">
        <v>0.9517233759520497</v>
      </c>
      <c r="T196" s="50">
        <v>0.93644261088455449</v>
      </c>
      <c r="U196" s="50">
        <v>0.96919191245332315</v>
      </c>
      <c r="V196" s="50">
        <v>0.92361494448203552</v>
      </c>
      <c r="W196" s="50">
        <v>0.77778399375291052</v>
      </c>
      <c r="X196" s="50">
        <v>0.77778399375291052</v>
      </c>
      <c r="Y196" s="50">
        <v>0.96161217889549866</v>
      </c>
      <c r="Z196" s="50">
        <v>0.96161217889549866</v>
      </c>
    </row>
    <row r="197" spans="19:26">
      <c r="S197" s="50">
        <v>0.93930655252935669</v>
      </c>
      <c r="T197" s="50">
        <v>0.92044225391828749</v>
      </c>
      <c r="U197" s="50">
        <v>0.81803724805617128</v>
      </c>
      <c r="V197" s="50">
        <v>0.78542614645418463</v>
      </c>
      <c r="W197" s="50">
        <v>0.86403033841814958</v>
      </c>
      <c r="X197" s="50">
        <v>0.86403033841814958</v>
      </c>
      <c r="Y197" s="50">
        <v>0.93909561037769773</v>
      </c>
      <c r="Z197" s="50">
        <v>0.93909561037769773</v>
      </c>
    </row>
    <row r="198" spans="19:26">
      <c r="S198" s="50">
        <v>0.96306594386605315</v>
      </c>
      <c r="T198" s="50">
        <v>0.95120019387884946</v>
      </c>
      <c r="U198" s="50">
        <v>0.98400248046984196</v>
      </c>
      <c r="V198" s="50">
        <v>0.91704007455875824</v>
      </c>
      <c r="W198" s="50">
        <v>0.84302569506589287</v>
      </c>
      <c r="X198" s="50">
        <v>0.84302569506589287</v>
      </c>
      <c r="Y198" s="50">
        <v>0.99432817534944928</v>
      </c>
      <c r="Z198" s="50">
        <v>0.99432817534944928</v>
      </c>
    </row>
    <row r="199" spans="19:26">
      <c r="S199" s="50">
        <v>0.95609242226365099</v>
      </c>
      <c r="T199" s="50">
        <v>0.94210246422342447</v>
      </c>
      <c r="U199" s="50">
        <v>1.1736139465018158</v>
      </c>
      <c r="V199" s="50">
        <v>1.0286921291091127</v>
      </c>
      <c r="W199" s="50">
        <v>0.73562820990170141</v>
      </c>
      <c r="X199" s="50">
        <v>0.73562820990170141</v>
      </c>
      <c r="Y199" s="50">
        <v>0.97377330456441502</v>
      </c>
      <c r="Z199" s="50">
        <v>0.97377330456441502</v>
      </c>
    </row>
    <row r="200" spans="19:26">
      <c r="S200" s="50">
        <v>0.96303551895917827</v>
      </c>
      <c r="T200" s="50">
        <v>0.95115447322693891</v>
      </c>
      <c r="U200" s="50">
        <v>0.91571920926290817</v>
      </c>
      <c r="V200" s="50">
        <v>0.83036058766719889</v>
      </c>
      <c r="W200" s="50">
        <v>0.79773611023382984</v>
      </c>
      <c r="X200" s="50">
        <v>0.79773611023382984</v>
      </c>
      <c r="Y200" s="50">
        <v>0.99572373512062251</v>
      </c>
      <c r="Z200" s="50">
        <v>0.99572373512062251</v>
      </c>
    </row>
    <row r="201" spans="19:26">
      <c r="S201" s="50">
        <v>0.96171991877714658</v>
      </c>
      <c r="T201" s="50">
        <v>0.94943950593952842</v>
      </c>
      <c r="U201" s="50">
        <v>0.91264013884801543</v>
      </c>
      <c r="V201" s="50">
        <v>0.89048597817134389</v>
      </c>
      <c r="W201" s="50">
        <v>0.80664579707730644</v>
      </c>
      <c r="X201" s="50">
        <v>0.80664579707730644</v>
      </c>
      <c r="Y201" s="50">
        <v>0.99017500214907828</v>
      </c>
      <c r="Z201" s="50">
        <v>0.99017500214907828</v>
      </c>
    </row>
    <row r="202" spans="19:26">
      <c r="S202" s="50">
        <v>0.96352664790090081</v>
      </c>
      <c r="T202" s="50">
        <v>0.95179614504464161</v>
      </c>
      <c r="U202" s="50">
        <v>0.89391299324420626</v>
      </c>
      <c r="V202" s="50">
        <v>1.0445573376197119</v>
      </c>
      <c r="W202" s="50">
        <v>0.80194914383965998</v>
      </c>
      <c r="X202" s="50">
        <v>0.80194914383965998</v>
      </c>
      <c r="Y202" s="50">
        <v>0.99764577268231447</v>
      </c>
      <c r="Z202" s="50">
        <v>0.99764577268231447</v>
      </c>
    </row>
    <row r="203" spans="19:26">
      <c r="S203" s="50">
        <v>0.96265813635065667</v>
      </c>
      <c r="T203" s="50">
        <v>0.95064673887369155</v>
      </c>
      <c r="U203" s="50">
        <v>1.0238299433338525</v>
      </c>
      <c r="V203" s="50">
        <v>1.0117105616570814</v>
      </c>
      <c r="W203" s="50">
        <v>0.70592495649748288</v>
      </c>
      <c r="X203" s="50">
        <v>0.70592495649748288</v>
      </c>
      <c r="Y203" s="50">
        <v>0.9980546905029799</v>
      </c>
      <c r="Z203" s="50">
        <v>0.9980546905029799</v>
      </c>
    </row>
    <row r="204" spans="19:26">
      <c r="S204" s="50">
        <v>0.95756329577293975</v>
      </c>
      <c r="T204" s="50">
        <v>0.94402052958276061</v>
      </c>
      <c r="U204" s="50">
        <v>1.0303669840092871</v>
      </c>
      <c r="V204" s="50">
        <v>0.84116628865741916</v>
      </c>
      <c r="W204" s="50">
        <v>0.76768768125182574</v>
      </c>
      <c r="X204" s="50">
        <v>0.76768768125182574</v>
      </c>
      <c r="Y204" s="50">
        <v>0.97717980513747593</v>
      </c>
      <c r="Z204" s="50">
        <v>0.97717980513747593</v>
      </c>
    </row>
    <row r="205" spans="19:26">
      <c r="S205" s="50">
        <v>0.96415260341890929</v>
      </c>
      <c r="T205" s="50">
        <v>0.95261825960168078</v>
      </c>
      <c r="U205" s="50">
        <v>0.99164803519083222</v>
      </c>
      <c r="V205" s="50">
        <v>1.0390433270942094</v>
      </c>
      <c r="W205" s="50">
        <v>0.83868483230062285</v>
      </c>
      <c r="X205" s="50">
        <v>0.83868483230062285</v>
      </c>
      <c r="Y205" s="50">
        <v>0.99906057447889784</v>
      </c>
      <c r="Z205" s="50">
        <v>0.99906057447889784</v>
      </c>
    </row>
    <row r="206" spans="19:26">
      <c r="S206" s="50">
        <v>0.96371813462050926</v>
      </c>
      <c r="T206" s="50">
        <v>0.9520472692564419</v>
      </c>
      <c r="U206" s="50">
        <v>0.961275222543166</v>
      </c>
      <c r="V206" s="50">
        <v>1.0808639845267809</v>
      </c>
      <c r="W206" s="50">
        <v>0.81015928609292087</v>
      </c>
      <c r="X206" s="50">
        <v>0.81015928609292087</v>
      </c>
      <c r="Y206" s="50">
        <v>0.99817004060936787</v>
      </c>
      <c r="Z206" s="50">
        <v>0.99817004060936787</v>
      </c>
    </row>
    <row r="207" spans="19:26">
      <c r="S207" s="50">
        <v>0.96293459716401097</v>
      </c>
      <c r="T207" s="50">
        <v>0.95101132015166023</v>
      </c>
      <c r="U207" s="50">
        <v>0.95568283272938159</v>
      </c>
      <c r="V207" s="50">
        <v>0.87122881978893796</v>
      </c>
      <c r="W207" s="50">
        <v>0.72601239634827008</v>
      </c>
      <c r="X207" s="50">
        <v>0.72601239634827008</v>
      </c>
      <c r="Y207" s="50">
        <v>0.99826782562697791</v>
      </c>
      <c r="Z207" s="50">
        <v>0.99826782562697791</v>
      </c>
    </row>
    <row r="208" spans="19:26">
      <c r="S208" s="50">
        <v>0.95513184873686785</v>
      </c>
      <c r="T208" s="50">
        <v>0.94086242909790674</v>
      </c>
      <c r="U208" s="50">
        <v>0.95996098002006658</v>
      </c>
      <c r="V208" s="50">
        <v>0.89489942139930101</v>
      </c>
      <c r="W208" s="50">
        <v>0.77511350074413676</v>
      </c>
      <c r="X208" s="50">
        <v>0.77511350074413676</v>
      </c>
      <c r="Y208" s="50">
        <v>0.97003551826665646</v>
      </c>
      <c r="Z208" s="50">
        <v>0.97003551826665646</v>
      </c>
    </row>
    <row r="209" spans="19:26">
      <c r="S209" s="50">
        <v>0.96132823757024932</v>
      </c>
      <c r="T209" s="50">
        <v>0.94893579217038038</v>
      </c>
      <c r="U209" s="50">
        <v>0.94455414088749634</v>
      </c>
      <c r="V209" s="50">
        <v>1.0055501202060522</v>
      </c>
      <c r="W209" s="50">
        <v>0.8585672560210309</v>
      </c>
      <c r="X209" s="50">
        <v>0.8585672560210309</v>
      </c>
      <c r="Y209" s="50">
        <v>0.98719863793881069</v>
      </c>
      <c r="Z209" s="50">
        <v>0.98719863793881069</v>
      </c>
    </row>
    <row r="210" spans="19:26">
      <c r="S210" s="50">
        <v>0.9614888302930521</v>
      </c>
      <c r="T210" s="50">
        <v>0.94913877690533499</v>
      </c>
      <c r="U210" s="50">
        <v>0.99568998473957337</v>
      </c>
      <c r="V210" s="50">
        <v>1.0656041402738203</v>
      </c>
      <c r="W210" s="50">
        <v>0.81065970814672206</v>
      </c>
      <c r="X210" s="50">
        <v>0.81065970814672206</v>
      </c>
      <c r="Y210" s="50">
        <v>0.98917296533434407</v>
      </c>
      <c r="Z210" s="50">
        <v>0.98917296533434407</v>
      </c>
    </row>
    <row r="211" spans="19:26">
      <c r="S211" s="50">
        <v>0.96347946053086742</v>
      </c>
      <c r="T211" s="50">
        <v>0.95173101963728801</v>
      </c>
      <c r="U211" s="50">
        <v>0.87963385680110784</v>
      </c>
      <c r="V211" s="50">
        <v>1.0545511943383954</v>
      </c>
      <c r="W211" s="50">
        <v>0.77746373570434557</v>
      </c>
      <c r="X211" s="50">
        <v>0.77746373570434557</v>
      </c>
      <c r="Y211" s="50">
        <v>0.99838531095830496</v>
      </c>
      <c r="Z211" s="50">
        <v>0.99838531095830496</v>
      </c>
    </row>
    <row r="212" spans="19:26">
      <c r="S212" s="50">
        <v>0.96328114697498712</v>
      </c>
      <c r="T212" s="50">
        <v>0.95148131862257601</v>
      </c>
      <c r="U212" s="50">
        <v>0.96020120062772618</v>
      </c>
      <c r="V212" s="50">
        <v>0.97008059263553437</v>
      </c>
      <c r="W212" s="50">
        <v>0.84519108026661227</v>
      </c>
      <c r="X212" s="50">
        <v>0.84519108026661227</v>
      </c>
      <c r="Y212" s="50">
        <v>0.99514294605113196</v>
      </c>
      <c r="Z212" s="50">
        <v>0.99514294605113196</v>
      </c>
    </row>
    <row r="213" spans="19:26">
      <c r="S213" s="50">
        <v>0.96325609851080096</v>
      </c>
      <c r="T213" s="50">
        <v>0.95145682488051209</v>
      </c>
      <c r="U213" s="50">
        <v>1.1232367704899893</v>
      </c>
      <c r="V213" s="50">
        <v>1.0187844914346402</v>
      </c>
      <c r="W213" s="50">
        <v>0.91880122134709408</v>
      </c>
      <c r="X213" s="50">
        <v>0.91880122134709408</v>
      </c>
      <c r="Y213" s="50">
        <v>0.99298746012782102</v>
      </c>
      <c r="Z213" s="50">
        <v>0.99298746012782102</v>
      </c>
    </row>
    <row r="214" spans="19:26">
      <c r="S214" s="50">
        <v>0.96232638946611138</v>
      </c>
      <c r="T214" s="50">
        <v>0.95023185181650238</v>
      </c>
      <c r="U214" s="50">
        <v>1.0580940017616136</v>
      </c>
      <c r="V214" s="50">
        <v>1.090360261155602</v>
      </c>
      <c r="W214" s="50">
        <v>0.81664032205683723</v>
      </c>
      <c r="X214" s="50">
        <v>0.81664032205683723</v>
      </c>
      <c r="Y214" s="50">
        <v>0.99220278655262395</v>
      </c>
      <c r="Z214" s="50">
        <v>0.99220278655262395</v>
      </c>
    </row>
    <row r="215" spans="19:26">
      <c r="S215" s="50">
        <v>0.96344200275986724</v>
      </c>
      <c r="T215" s="50">
        <v>0.95168630648572061</v>
      </c>
      <c r="U215" s="50">
        <v>1.0070758550814827</v>
      </c>
      <c r="V215" s="50">
        <v>1.1517216581704706</v>
      </c>
      <c r="W215" s="50">
        <v>0.80677817950876407</v>
      </c>
      <c r="X215" s="50">
        <v>0.80677817950876407</v>
      </c>
      <c r="Y215" s="50">
        <v>0.99710794221386234</v>
      </c>
      <c r="Z215" s="50">
        <v>0.99710794221386234</v>
      </c>
    </row>
    <row r="216" spans="19:26">
      <c r="S216" s="50">
        <v>0.96337050557705206</v>
      </c>
      <c r="T216" s="50">
        <v>0.95158846796246277</v>
      </c>
      <c r="U216" s="50">
        <v>0.96526724204330716</v>
      </c>
      <c r="V216" s="50">
        <v>1.0576333135931342</v>
      </c>
      <c r="W216" s="50">
        <v>0.77541530910100998</v>
      </c>
      <c r="X216" s="50">
        <v>0.77541530910100998</v>
      </c>
      <c r="Y216" s="50">
        <v>0.99799623338182364</v>
      </c>
      <c r="Z216" s="50">
        <v>0.99799623338182364</v>
      </c>
    </row>
    <row r="217" spans="19:26">
      <c r="S217" s="50">
        <v>0.95838818091640166</v>
      </c>
      <c r="T217" s="50">
        <v>0.94511160772420055</v>
      </c>
      <c r="U217" s="50">
        <v>0.89215511652684876</v>
      </c>
      <c r="V217" s="50">
        <v>0.88799588385589101</v>
      </c>
      <c r="W217" s="50">
        <v>0.89176949655026982</v>
      </c>
      <c r="X217" s="50">
        <v>0.89176949655026982</v>
      </c>
      <c r="Y217" s="50">
        <v>0.97668968049127691</v>
      </c>
      <c r="Z217" s="50">
        <v>0.97668968049127691</v>
      </c>
    </row>
    <row r="218" spans="19:26">
      <c r="S218" s="50">
        <v>0.96108697509749264</v>
      </c>
      <c r="T218" s="50">
        <v>0.94859109566121069</v>
      </c>
      <c r="U218" s="50">
        <v>0.94543043299863572</v>
      </c>
      <c r="V218" s="50">
        <v>0.93599247938444785</v>
      </c>
      <c r="W218" s="50">
        <v>0.67711044017728506</v>
      </c>
      <c r="X218" s="50">
        <v>0.67711044017728506</v>
      </c>
      <c r="Y218" s="50">
        <v>0.99299970783624558</v>
      </c>
      <c r="Z218" s="50">
        <v>0.99299970783624558</v>
      </c>
    </row>
    <row r="219" spans="19:26">
      <c r="S219" s="50">
        <v>0.96329470929115624</v>
      </c>
      <c r="T219" s="50">
        <v>0.95149799508098343</v>
      </c>
      <c r="U219" s="50">
        <v>0.90780037102305389</v>
      </c>
      <c r="V219" s="50">
        <v>0.95544081168204331</v>
      </c>
      <c r="W219" s="50">
        <v>0.83694253309945044</v>
      </c>
      <c r="X219" s="50">
        <v>0.83694253309945044</v>
      </c>
      <c r="Y219" s="50">
        <v>0.99546101375967178</v>
      </c>
      <c r="Z219" s="50">
        <v>0.99546101375967178</v>
      </c>
    </row>
    <row r="220" spans="19:26">
      <c r="S220" s="50">
        <v>0.96242781816687295</v>
      </c>
      <c r="T220" s="50">
        <v>0.95036061244084369</v>
      </c>
      <c r="U220" s="50">
        <v>0.92460728728002994</v>
      </c>
      <c r="V220" s="50">
        <v>0.86751679394358605</v>
      </c>
      <c r="W220" s="50">
        <v>0.79153604000656563</v>
      </c>
      <c r="X220" s="50">
        <v>0.79153604000656563</v>
      </c>
      <c r="Y220" s="50">
        <v>0.99345974400248216</v>
      </c>
      <c r="Z220" s="50">
        <v>0.99345974400248216</v>
      </c>
    </row>
    <row r="221" spans="19:26">
      <c r="S221" s="50">
        <v>0.94959987764526088</v>
      </c>
      <c r="T221" s="50">
        <v>0.93370314286233536</v>
      </c>
      <c r="U221" s="50">
        <v>0.92257318111620057</v>
      </c>
      <c r="V221" s="50">
        <v>0.97357522179277967</v>
      </c>
      <c r="W221" s="50">
        <v>0.82788079737044651</v>
      </c>
      <c r="X221" s="50">
        <v>0.82788079737044651</v>
      </c>
      <c r="Y221" s="50">
        <v>0.95619914828950814</v>
      </c>
      <c r="Z221" s="50">
        <v>0.95619914828950814</v>
      </c>
    </row>
    <row r="222" spans="19:26">
      <c r="S222" s="50">
        <v>0.94912651819151883</v>
      </c>
      <c r="T222" s="50">
        <v>0.93305922654065465</v>
      </c>
      <c r="U222" s="50">
        <v>1.0360137968823009</v>
      </c>
      <c r="V222" s="50">
        <v>1.0485129892252678</v>
      </c>
      <c r="W222" s="50">
        <v>0.68367135360198272</v>
      </c>
      <c r="X222" s="50">
        <v>0.68367135360198272</v>
      </c>
      <c r="Y222" s="50">
        <v>0.95815537504173787</v>
      </c>
      <c r="Z222" s="50">
        <v>0.95815537504173787</v>
      </c>
    </row>
    <row r="223" spans="19:26">
      <c r="S223" s="50">
        <v>0.96154229757910814</v>
      </c>
      <c r="T223" s="50">
        <v>0.94921789115992106</v>
      </c>
      <c r="U223" s="50">
        <v>0.93998717336483573</v>
      </c>
      <c r="V223" s="50">
        <v>0.98373818436167038</v>
      </c>
      <c r="W223" s="50">
        <v>0.8842654629640081</v>
      </c>
      <c r="X223" s="50">
        <v>0.8842654629640081</v>
      </c>
      <c r="Y223" s="50">
        <v>0.9873182264446454</v>
      </c>
      <c r="Z223" s="50">
        <v>0.9873182264446454</v>
      </c>
    </row>
    <row r="224" spans="19:26">
      <c r="S224" s="50">
        <v>0.9530716884017103</v>
      </c>
      <c r="T224" s="50">
        <v>0.93816615920747615</v>
      </c>
      <c r="U224" s="50">
        <v>0.96248358370890219</v>
      </c>
      <c r="V224" s="50">
        <v>0.89304254754497681</v>
      </c>
      <c r="W224" s="50">
        <v>0.67206242138156957</v>
      </c>
      <c r="X224" s="50">
        <v>0.67206242138156957</v>
      </c>
      <c r="Y224" s="50">
        <v>0.96761728011258685</v>
      </c>
      <c r="Z224" s="50">
        <v>0.96761728011258685</v>
      </c>
    </row>
    <row r="225" spans="19:26">
      <c r="S225" s="50">
        <v>0.94599231863908462</v>
      </c>
      <c r="T225" s="50">
        <v>0.92900693145684232</v>
      </c>
      <c r="U225" s="50">
        <v>0.90224193044754797</v>
      </c>
      <c r="V225" s="50">
        <v>1.1664884665559541</v>
      </c>
      <c r="W225" s="50">
        <v>0.67606913021141724</v>
      </c>
      <c r="X225" s="50">
        <v>0.67606913021141724</v>
      </c>
      <c r="Y225" s="50">
        <v>0.95220645238375246</v>
      </c>
      <c r="Z225" s="50">
        <v>0.95220645238375246</v>
      </c>
    </row>
    <row r="226" spans="19:26">
      <c r="S226" s="50">
        <v>0.96063270807773105</v>
      </c>
      <c r="T226" s="50">
        <v>0.94801824858653549</v>
      </c>
      <c r="U226" s="50">
        <v>0.95479248372969705</v>
      </c>
      <c r="V226" s="50">
        <v>1.0175339984686631</v>
      </c>
      <c r="W226" s="50">
        <v>0.77969398012101954</v>
      </c>
      <c r="X226" s="50">
        <v>0.77969398012101954</v>
      </c>
      <c r="Y226" s="50">
        <v>0.98701666177224912</v>
      </c>
      <c r="Z226" s="50">
        <v>0.98701666177224912</v>
      </c>
    </row>
    <row r="227" spans="19:26">
      <c r="S227" s="50">
        <v>0.95215179763451674</v>
      </c>
      <c r="T227" s="50">
        <v>0.93698420915458625</v>
      </c>
      <c r="U227" s="50">
        <v>0.96578188179695412</v>
      </c>
      <c r="V227" s="50">
        <v>0.93637194982776017</v>
      </c>
      <c r="W227" s="50">
        <v>0.71450548828957305</v>
      </c>
      <c r="X227" s="50">
        <v>0.71450548828957305</v>
      </c>
      <c r="Y227" s="50">
        <v>0.96408678887129018</v>
      </c>
      <c r="Z227" s="50">
        <v>0.96408678887129018</v>
      </c>
    </row>
    <row r="228" spans="19:26">
      <c r="S228" s="50">
        <v>0.95889791061089402</v>
      </c>
      <c r="T228" s="50">
        <v>0.94577403986459663</v>
      </c>
      <c r="U228" s="50">
        <v>1.0136827857882689</v>
      </c>
      <c r="V228" s="50">
        <v>1.0349793301344585</v>
      </c>
      <c r="W228" s="50">
        <v>0.88575251577194591</v>
      </c>
      <c r="X228" s="50">
        <v>0.88575251577194591</v>
      </c>
      <c r="Y228" s="50">
        <v>0.97837882921053299</v>
      </c>
      <c r="Z228" s="50">
        <v>0.97837882921053299</v>
      </c>
    </row>
    <row r="229" spans="19:26">
      <c r="S229" s="50">
        <v>0.96375789870510431</v>
      </c>
      <c r="T229" s="50">
        <v>0.95210369281284046</v>
      </c>
      <c r="U229" s="50">
        <v>0.92062445583580788</v>
      </c>
      <c r="V229" s="50">
        <v>0.92674367053278039</v>
      </c>
      <c r="W229" s="50">
        <v>0.84546435540279585</v>
      </c>
      <c r="X229" s="50">
        <v>0.84546435540279585</v>
      </c>
      <c r="Y229" s="50">
        <v>0.99713191169737247</v>
      </c>
      <c r="Z229" s="50">
        <v>0.99713191169737247</v>
      </c>
    </row>
    <row r="230" spans="19:26">
      <c r="S230" s="50">
        <v>0.95123768065824865</v>
      </c>
      <c r="T230" s="50">
        <v>0.93580752999764172</v>
      </c>
      <c r="U230" s="50">
        <v>0.9200892289445981</v>
      </c>
      <c r="V230" s="50">
        <v>0.94453364481607482</v>
      </c>
      <c r="W230" s="50">
        <v>0.74833602674644151</v>
      </c>
      <c r="X230" s="50">
        <v>0.74833602674644151</v>
      </c>
      <c r="Y230" s="50">
        <v>0.9611553301563609</v>
      </c>
      <c r="Z230" s="50">
        <v>0.9611553301563609</v>
      </c>
    </row>
    <row r="231" spans="19:26">
      <c r="S231" s="50">
        <v>0.96025135117091054</v>
      </c>
      <c r="T231" s="50">
        <v>0.94750851456400442</v>
      </c>
      <c r="U231" s="50">
        <v>0.91500096494988825</v>
      </c>
      <c r="V231" s="50">
        <v>0.84556425039620231</v>
      </c>
      <c r="W231" s="50">
        <v>0.70844961162016984</v>
      </c>
      <c r="X231" s="50">
        <v>0.70844961162016984</v>
      </c>
      <c r="Y231" s="50">
        <v>0.9883087276665391</v>
      </c>
      <c r="Z231" s="50">
        <v>0.9883087276665391</v>
      </c>
    </row>
    <row r="232" spans="19:26">
      <c r="S232" s="50">
        <v>0.96355268637868607</v>
      </c>
      <c r="T232" s="50">
        <v>0.95183137915231708</v>
      </c>
      <c r="U232" s="50">
        <v>0.90267285880516468</v>
      </c>
      <c r="V232" s="50">
        <v>0.86705654182131431</v>
      </c>
      <c r="W232" s="50">
        <v>0.81103602770718508</v>
      </c>
      <c r="X232" s="50">
        <v>0.81103602770718508</v>
      </c>
      <c r="Y232" s="50">
        <v>0.99742702238668635</v>
      </c>
      <c r="Z232" s="50">
        <v>0.99742702238668635</v>
      </c>
    </row>
    <row r="233" spans="19:26">
      <c r="S233" s="50">
        <v>0.95922089895765661</v>
      </c>
      <c r="T233" s="50">
        <v>0.9461692865288226</v>
      </c>
      <c r="U233" s="50">
        <v>0.91899891903697961</v>
      </c>
      <c r="V233" s="50">
        <v>1.0066033946263351</v>
      </c>
      <c r="W233" s="50">
        <v>0.72352918041530945</v>
      </c>
      <c r="X233" s="50">
        <v>0.72352918041530945</v>
      </c>
      <c r="Y233" s="50">
        <v>0.98402017422482635</v>
      </c>
      <c r="Z233" s="50">
        <v>0.98402017422482635</v>
      </c>
    </row>
    <row r="234" spans="19:26">
      <c r="S234" s="50">
        <v>0.95789823838896349</v>
      </c>
      <c r="T234" s="50">
        <v>0.94445667395932287</v>
      </c>
      <c r="U234" s="50">
        <v>0.81910784480665377</v>
      </c>
      <c r="V234" s="50">
        <v>0.91624576603713093</v>
      </c>
      <c r="W234" s="50">
        <v>0.77061442554685466</v>
      </c>
      <c r="X234" s="50">
        <v>0.77061442554685466</v>
      </c>
      <c r="Y234" s="50">
        <v>0.97812636130011932</v>
      </c>
      <c r="Z234" s="50">
        <v>0.97812636130011932</v>
      </c>
    </row>
    <row r="235" spans="19:26">
      <c r="S235" s="50">
        <v>0.96275402301275914</v>
      </c>
      <c r="T235" s="50">
        <v>0.95078724021679595</v>
      </c>
      <c r="U235" s="50">
        <v>1.0341072617934683</v>
      </c>
      <c r="V235" s="50">
        <v>1.1940285053591051</v>
      </c>
      <c r="W235" s="50">
        <v>0.79855698157904598</v>
      </c>
      <c r="X235" s="50">
        <v>0.79855698157904598</v>
      </c>
      <c r="Y235" s="50">
        <v>0.99453260549761802</v>
      </c>
      <c r="Z235" s="50">
        <v>0.99453260549761802</v>
      </c>
    </row>
    <row r="236" spans="19:26">
      <c r="S236" s="50">
        <v>0.96319397945154395</v>
      </c>
      <c r="T236" s="50">
        <v>0.95136164337242113</v>
      </c>
      <c r="U236" s="50">
        <v>0.95386696728177855</v>
      </c>
      <c r="V236" s="50">
        <v>1.001876434771577</v>
      </c>
      <c r="W236" s="50">
        <v>0.80022120163448762</v>
      </c>
      <c r="X236" s="50">
        <v>0.80022120163448762</v>
      </c>
      <c r="Y236" s="50">
        <v>0.99629650924779734</v>
      </c>
      <c r="Z236" s="50">
        <v>0.99629650924779734</v>
      </c>
    </row>
    <row r="237" spans="19:26">
      <c r="S237" s="50">
        <v>0.96390648642039334</v>
      </c>
      <c r="T237" s="50">
        <v>0.9522965862875159</v>
      </c>
      <c r="U237" s="50">
        <v>1.0063107099394479</v>
      </c>
      <c r="V237" s="50">
        <v>0.91527323655201009</v>
      </c>
      <c r="W237" s="50">
        <v>0.83639167383284341</v>
      </c>
      <c r="X237" s="50">
        <v>0.83639167383284341</v>
      </c>
      <c r="Y237" s="50">
        <v>0.99806754102558704</v>
      </c>
      <c r="Z237" s="50">
        <v>0.99806754102558704</v>
      </c>
    </row>
    <row r="238" spans="19:26">
      <c r="S238" s="50">
        <v>0.96210781968137116</v>
      </c>
      <c r="T238" s="50">
        <v>0.94994843860575795</v>
      </c>
      <c r="U238" s="50">
        <v>0.87709164287423158</v>
      </c>
      <c r="V238" s="50">
        <v>1.0411486320903462</v>
      </c>
      <c r="W238" s="50">
        <v>0.82906351752386975</v>
      </c>
      <c r="X238" s="50">
        <v>0.82906351752386975</v>
      </c>
      <c r="Y238" s="50">
        <v>0.9909586301201907</v>
      </c>
      <c r="Z238" s="50">
        <v>0.9909586301201907</v>
      </c>
    </row>
    <row r="239" spans="19:26">
      <c r="S239" s="50">
        <v>0.9630469141506639</v>
      </c>
      <c r="T239" s="50">
        <v>0.95115752642531537</v>
      </c>
      <c r="U239" s="50">
        <v>1.0054956800329768</v>
      </c>
      <c r="V239" s="50">
        <v>0.93667305556969327</v>
      </c>
      <c r="W239" s="50">
        <v>0.72373132588476907</v>
      </c>
      <c r="X239" s="50">
        <v>0.72373132588476907</v>
      </c>
      <c r="Y239" s="50">
        <v>0.99886586767006635</v>
      </c>
      <c r="Z239" s="50">
        <v>0.99886586767006635</v>
      </c>
    </row>
    <row r="240" spans="19:26">
      <c r="S240" s="50">
        <v>0.96352448669872115</v>
      </c>
      <c r="T240" s="50">
        <v>0.95178463440908079</v>
      </c>
      <c r="U240" s="50">
        <v>0.9760528544067566</v>
      </c>
      <c r="V240" s="50">
        <v>1.0119620889628742</v>
      </c>
      <c r="W240" s="50">
        <v>0.74456464990400451</v>
      </c>
      <c r="X240" s="50">
        <v>0.74456464990400451</v>
      </c>
      <c r="Y240" s="50">
        <v>0.99999419906703868</v>
      </c>
      <c r="Z240" s="50">
        <v>0.99999419906703868</v>
      </c>
    </row>
    <row r="241" spans="19:26">
      <c r="S241" s="50">
        <v>0.95149558669389811</v>
      </c>
      <c r="T241" s="50">
        <v>0.9361355368334191</v>
      </c>
      <c r="U241" s="50">
        <v>1.0331650755380399</v>
      </c>
      <c r="V241" s="50">
        <v>0.96816809913171642</v>
      </c>
      <c r="W241" s="50">
        <v>0.72128863571198831</v>
      </c>
      <c r="X241" s="50">
        <v>0.72128863571198831</v>
      </c>
      <c r="Y241" s="50">
        <v>0.96238050212378745</v>
      </c>
      <c r="Z241" s="50">
        <v>0.96238050212378745</v>
      </c>
    </row>
    <row r="242" spans="19:26">
      <c r="S242" s="50">
        <v>0.96356041625249411</v>
      </c>
      <c r="T242" s="50">
        <v>0.95183358755781433</v>
      </c>
      <c r="U242" s="50">
        <v>0.97205680142351292</v>
      </c>
      <c r="V242" s="50">
        <v>0.95082638109628737</v>
      </c>
      <c r="W242" s="50">
        <v>0.75712913568875606</v>
      </c>
      <c r="X242" s="50">
        <v>0.75712913568875606</v>
      </c>
      <c r="Y242" s="50">
        <v>0.99959193651149247</v>
      </c>
      <c r="Z242" s="50">
        <v>0.99959193651149247</v>
      </c>
    </row>
    <row r="243" spans="19:26">
      <c r="S243" s="50">
        <v>0.9624839883988211</v>
      </c>
      <c r="T243" s="50">
        <v>0.95042121492828768</v>
      </c>
      <c r="U243" s="50">
        <v>0.93379999759654397</v>
      </c>
      <c r="V243" s="50">
        <v>0.78498306097773485</v>
      </c>
      <c r="W243" s="50">
        <v>0.71512565519950189</v>
      </c>
      <c r="X243" s="50">
        <v>0.71512565519950189</v>
      </c>
      <c r="Y243" s="50">
        <v>0.99685524013930493</v>
      </c>
      <c r="Z243" s="50">
        <v>0.99685524013930493</v>
      </c>
    </row>
    <row r="244" spans="19:26">
      <c r="S244" s="50">
        <v>0.94684474049194267</v>
      </c>
      <c r="T244" s="50">
        <v>0.93010654146484817</v>
      </c>
      <c r="U244" s="50">
        <v>0.97805071519916054</v>
      </c>
      <c r="V244" s="50">
        <v>0.86843371522599633</v>
      </c>
      <c r="W244" s="50">
        <v>0.67242862933924841</v>
      </c>
      <c r="X244" s="50">
        <v>0.67242862933924841</v>
      </c>
      <c r="Y244" s="50">
        <v>0.95388530645136949</v>
      </c>
      <c r="Z244" s="50">
        <v>0.95388530645136949</v>
      </c>
    </row>
    <row r="245" spans="19:26">
      <c r="S245" s="50">
        <v>0.96085973488269649</v>
      </c>
      <c r="T245" s="50">
        <v>0.94830375705359193</v>
      </c>
      <c r="U245" s="50">
        <v>0.99507217412041915</v>
      </c>
      <c r="V245" s="50">
        <v>0.9635892441535221</v>
      </c>
      <c r="W245" s="50">
        <v>0.72029559394756382</v>
      </c>
      <c r="X245" s="50">
        <v>0.72029559394756382</v>
      </c>
      <c r="Y245" s="50">
        <v>0.99008975880570715</v>
      </c>
      <c r="Z245" s="50">
        <v>0.99008975880570715</v>
      </c>
    </row>
    <row r="246" spans="19:26">
      <c r="S246" s="50">
        <v>0.95614043389409087</v>
      </c>
      <c r="T246" s="50">
        <v>0.94216311031421041</v>
      </c>
      <c r="U246" s="50">
        <v>0.93346723913904683</v>
      </c>
      <c r="V246" s="50">
        <v>0.94292390221659939</v>
      </c>
      <c r="W246" s="50">
        <v>0.72717121098080417</v>
      </c>
      <c r="X246" s="50">
        <v>0.72717121098080417</v>
      </c>
      <c r="Y246" s="50">
        <v>0.97417127979813189</v>
      </c>
      <c r="Z246" s="50">
        <v>0.97417127979813189</v>
      </c>
    </row>
    <row r="247" spans="19:26">
      <c r="S247" s="50">
        <v>0.96061698616825397</v>
      </c>
      <c r="T247" s="50">
        <v>0.94799071257021561</v>
      </c>
      <c r="U247" s="50">
        <v>0.96891836314541002</v>
      </c>
      <c r="V247" s="50">
        <v>0.92391954557434464</v>
      </c>
      <c r="W247" s="50">
        <v>0.7382420823301713</v>
      </c>
      <c r="X247" s="50">
        <v>0.7382420823301713</v>
      </c>
      <c r="Y247" s="50">
        <v>0.98844842933488175</v>
      </c>
      <c r="Z247" s="50">
        <v>0.98844842933488175</v>
      </c>
    </row>
    <row r="248" spans="19:26">
      <c r="S248" s="50">
        <v>0.96229943080542313</v>
      </c>
      <c r="T248" s="50">
        <v>0.95019065623221721</v>
      </c>
      <c r="U248" s="50">
        <v>1.0542442878139917</v>
      </c>
      <c r="V248" s="50">
        <v>1.0891825830029469</v>
      </c>
      <c r="W248" s="50">
        <v>0.77519820144783524</v>
      </c>
      <c r="X248" s="50">
        <v>0.77519820144783524</v>
      </c>
      <c r="Y248" s="50">
        <v>0.99354062552243239</v>
      </c>
      <c r="Z248" s="50">
        <v>0.99354062552243239</v>
      </c>
    </row>
    <row r="249" spans="19:26">
      <c r="S249" s="50">
        <v>0.96078448409776829</v>
      </c>
      <c r="T249" s="50">
        <v>0.94822186193599656</v>
      </c>
      <c r="U249" s="50">
        <v>0.92200411282898209</v>
      </c>
      <c r="V249" s="50">
        <v>1.0382393418919196</v>
      </c>
      <c r="W249" s="50">
        <v>0.8186681944249965</v>
      </c>
      <c r="X249" s="50">
        <v>0.8186681944249965</v>
      </c>
      <c r="Y249" s="50">
        <v>0.98634845774123836</v>
      </c>
      <c r="Z249" s="50">
        <v>0.98634845774123836</v>
      </c>
    </row>
    <row r="250" spans="19:26">
      <c r="S250" s="50">
        <v>0.9604078552749804</v>
      </c>
      <c r="T250" s="50">
        <v>0.94772196661293606</v>
      </c>
      <c r="U250" s="50">
        <v>0.96133505134377706</v>
      </c>
      <c r="V250" s="50">
        <v>0.92850241526803434</v>
      </c>
      <c r="W250" s="50">
        <v>0.75969584534914725</v>
      </c>
      <c r="X250" s="50">
        <v>0.75969584534914725</v>
      </c>
      <c r="Y250" s="50">
        <v>0.98688792388010038</v>
      </c>
      <c r="Z250" s="50">
        <v>0.98688792388010038</v>
      </c>
    </row>
    <row r="251" spans="19:26">
      <c r="S251" s="50">
        <v>0.96301623470014952</v>
      </c>
      <c r="T251" s="50">
        <v>0.95111848929571341</v>
      </c>
      <c r="U251" s="50">
        <v>0.98659009519653107</v>
      </c>
      <c r="V251" s="50">
        <v>0.85042232138924312</v>
      </c>
      <c r="W251" s="50">
        <v>0.72941185103233264</v>
      </c>
      <c r="X251" s="50">
        <v>0.72941185103233264</v>
      </c>
      <c r="Y251" s="50">
        <v>0.99846180590757094</v>
      </c>
      <c r="Z251" s="50">
        <v>0.99846180590757094</v>
      </c>
    </row>
    <row r="252" spans="19:26">
      <c r="S252" s="50">
        <v>0.96270949306869547</v>
      </c>
      <c r="T252" s="50">
        <v>0.95072491113089053</v>
      </c>
      <c r="U252" s="50">
        <v>0.86009843444679712</v>
      </c>
      <c r="V252" s="50">
        <v>0.94805746632165711</v>
      </c>
      <c r="W252" s="50">
        <v>0.77022613103763982</v>
      </c>
      <c r="X252" s="50">
        <v>0.77022613103763982</v>
      </c>
      <c r="Y252" s="50">
        <v>0.99540682152151438</v>
      </c>
      <c r="Z252" s="50">
        <v>0.99540682152151438</v>
      </c>
    </row>
    <row r="253" spans="19:26">
      <c r="S253" s="50">
        <v>0.9612194041512</v>
      </c>
      <c r="T253" s="50">
        <v>0.94878856864732897</v>
      </c>
      <c r="U253" s="50">
        <v>0.89819190795206771</v>
      </c>
      <c r="V253" s="50">
        <v>0.98429436911582957</v>
      </c>
      <c r="W253" s="50">
        <v>0.8178595421117385</v>
      </c>
      <c r="X253" s="50">
        <v>0.8178595421117385</v>
      </c>
      <c r="Y253" s="50">
        <v>0.987950761234064</v>
      </c>
      <c r="Z253" s="50">
        <v>0.987950761234064</v>
      </c>
    </row>
    <row r="254" spans="19:26">
      <c r="S254" s="50">
        <v>0.95857608055398491</v>
      </c>
      <c r="T254" s="50">
        <v>0.94534637318406822</v>
      </c>
      <c r="U254" s="50">
        <v>0.90817734980435838</v>
      </c>
      <c r="V254" s="50">
        <v>0.82848399219728563</v>
      </c>
      <c r="W254" s="50">
        <v>0.81954304906873277</v>
      </c>
      <c r="X254" s="50">
        <v>0.81954304906873277</v>
      </c>
      <c r="Y254" s="50">
        <v>0.9789084066899576</v>
      </c>
      <c r="Z254" s="50">
        <v>0.9789084066899576</v>
      </c>
    </row>
    <row r="255" spans="19:26">
      <c r="S255" s="50">
        <v>0.96245739022524557</v>
      </c>
      <c r="T255" s="50">
        <v>0.95039292293931643</v>
      </c>
      <c r="U255" s="50">
        <v>0.95004006074770897</v>
      </c>
      <c r="V255" s="50">
        <v>0.89949983252515953</v>
      </c>
      <c r="W255" s="50">
        <v>0.75141576132110488</v>
      </c>
      <c r="X255" s="50">
        <v>0.75141576132110488</v>
      </c>
      <c r="Y255" s="50">
        <v>0.99512291699584376</v>
      </c>
      <c r="Z255" s="50">
        <v>0.99512291699584376</v>
      </c>
    </row>
    <row r="256" spans="19:26">
      <c r="S256" s="50">
        <v>0.9629827659594512</v>
      </c>
      <c r="T256" s="50">
        <v>0.95107446038918719</v>
      </c>
      <c r="U256" s="50">
        <v>0.97516668047881605</v>
      </c>
      <c r="V256" s="50">
        <v>0.96713317761940787</v>
      </c>
      <c r="W256" s="50">
        <v>0.72749194878355683</v>
      </c>
      <c r="X256" s="50">
        <v>0.72749194878355683</v>
      </c>
      <c r="Y256" s="50">
        <v>0.99840682810004955</v>
      </c>
      <c r="Z256" s="50">
        <v>0.99840682810004955</v>
      </c>
    </row>
    <row r="257" spans="19:26">
      <c r="S257" s="50">
        <v>0.96288391057724687</v>
      </c>
      <c r="T257" s="50">
        <v>0.9509522186262388</v>
      </c>
      <c r="U257" s="50">
        <v>1.015608388355691</v>
      </c>
      <c r="V257" s="50">
        <v>0.881851356681007</v>
      </c>
      <c r="W257" s="50">
        <v>0.76823839574476172</v>
      </c>
      <c r="X257" s="50">
        <v>0.76823839574476172</v>
      </c>
      <c r="Y257" s="50">
        <v>0.99621325396649607</v>
      </c>
      <c r="Z257" s="50">
        <v>0.99621325396649607</v>
      </c>
    </row>
    <row r="258" spans="19:26">
      <c r="S258" s="50">
        <v>0.96303625706409468</v>
      </c>
      <c r="T258" s="50">
        <v>0.9511545429073397</v>
      </c>
      <c r="U258" s="50">
        <v>1.026500502783944</v>
      </c>
      <c r="V258" s="50">
        <v>1.0156988833196745</v>
      </c>
      <c r="W258" s="50">
        <v>0.79149871745121503</v>
      </c>
      <c r="X258" s="50">
        <v>0.79149871745121503</v>
      </c>
      <c r="Y258" s="50">
        <v>0.99595555007067871</v>
      </c>
      <c r="Z258" s="50">
        <v>0.99595555007067871</v>
      </c>
    </row>
    <row r="259" spans="19:26">
      <c r="S259" s="50">
        <v>0.96169925534423617</v>
      </c>
      <c r="T259" s="50">
        <v>0.94941462522114661</v>
      </c>
      <c r="U259" s="50">
        <v>1.0413798478110177</v>
      </c>
      <c r="V259" s="50">
        <v>1.0180862717934331</v>
      </c>
      <c r="W259" s="50">
        <v>0.82140347312118678</v>
      </c>
      <c r="X259" s="50">
        <v>0.82140347312118678</v>
      </c>
      <c r="Y259" s="50">
        <v>0.98963226819252537</v>
      </c>
      <c r="Z259" s="50">
        <v>0.98963226819252537</v>
      </c>
    </row>
    <row r="260" spans="19:26">
      <c r="S260" s="50">
        <v>0.96300697724209605</v>
      </c>
      <c r="T260" s="50">
        <v>0.95111418273939441</v>
      </c>
      <c r="U260" s="50">
        <v>1.0059724327688371</v>
      </c>
      <c r="V260" s="50">
        <v>0.86829740244320863</v>
      </c>
      <c r="W260" s="50">
        <v>0.77699705547939624</v>
      </c>
      <c r="X260" s="50">
        <v>0.77699705547939624</v>
      </c>
      <c r="Y260" s="50">
        <v>0.99638446514729118</v>
      </c>
      <c r="Z260" s="50">
        <v>0.99638446514729118</v>
      </c>
    </row>
    <row r="261" spans="19:26">
      <c r="S261" s="50">
        <v>0.96300486002839403</v>
      </c>
      <c r="T261" s="50">
        <v>0.95111028844209389</v>
      </c>
      <c r="U261" s="50">
        <v>1.0839221969590473</v>
      </c>
      <c r="V261" s="50">
        <v>0.78790680252346823</v>
      </c>
      <c r="W261" s="50">
        <v>0.76961050515949625</v>
      </c>
      <c r="X261" s="50">
        <v>0.76961050515949625</v>
      </c>
      <c r="Y261" s="50">
        <v>0.99666782928272535</v>
      </c>
      <c r="Z261" s="50">
        <v>0.99666782928272535</v>
      </c>
    </row>
    <row r="262" spans="19:26">
      <c r="S262" s="50">
        <v>0.96315270153193744</v>
      </c>
      <c r="T262" s="50">
        <v>0.95130095980690565</v>
      </c>
      <c r="U262" s="50">
        <v>0.98660458807268681</v>
      </c>
      <c r="V262" s="50">
        <v>0.94224863132961034</v>
      </c>
      <c r="W262" s="50">
        <v>0.75504722414864278</v>
      </c>
      <c r="X262" s="50">
        <v>0.75504722414864278</v>
      </c>
      <c r="Y262" s="50">
        <v>0.99790250014884219</v>
      </c>
      <c r="Z262" s="50">
        <v>0.99790250014884219</v>
      </c>
    </row>
    <row r="263" spans="19:26">
      <c r="S263" s="50">
        <v>0.96315931699737634</v>
      </c>
      <c r="T263" s="50">
        <v>0.95131501925126738</v>
      </c>
      <c r="U263" s="50">
        <v>0.88344022969191238</v>
      </c>
      <c r="V263" s="50">
        <v>0.86791594308200259</v>
      </c>
      <c r="W263" s="50">
        <v>0.79052539244401654</v>
      </c>
      <c r="X263" s="50">
        <v>0.79052539244401654</v>
      </c>
      <c r="Y263" s="50">
        <v>0.99650851646137406</v>
      </c>
      <c r="Z263" s="50">
        <v>0.99650851646137406</v>
      </c>
    </row>
    <row r="264" spans="19:26">
      <c r="S264" s="50">
        <v>0.96286448847573491</v>
      </c>
      <c r="T264" s="50">
        <v>0.95092078903136767</v>
      </c>
      <c r="U264" s="50">
        <v>0.94217878394138843</v>
      </c>
      <c r="V264" s="50">
        <v>0.85969336307862687</v>
      </c>
      <c r="W264" s="50">
        <v>0.7315364993485749</v>
      </c>
      <c r="X264" s="50">
        <v>0.7315364993485749</v>
      </c>
      <c r="Y264" s="50">
        <v>0.99770705619226008</v>
      </c>
      <c r="Z264" s="50">
        <v>0.99770705619226008</v>
      </c>
    </row>
    <row r="265" spans="19:26">
      <c r="S265" s="50">
        <v>0.9602634151799645</v>
      </c>
      <c r="T265" s="50">
        <v>0.94754150083435762</v>
      </c>
      <c r="U265" s="50">
        <v>1.0208779736868829</v>
      </c>
      <c r="V265" s="50">
        <v>0.96052977125424222</v>
      </c>
      <c r="W265" s="50">
        <v>0.80843546528144683</v>
      </c>
      <c r="X265" s="50">
        <v>0.80843546528144683</v>
      </c>
      <c r="Y265" s="50">
        <v>0.98480622214508051</v>
      </c>
      <c r="Z265" s="50">
        <v>0.98480622214508051</v>
      </c>
    </row>
    <row r="266" spans="19:26">
      <c r="S266" s="50">
        <v>0.96212255857667439</v>
      </c>
      <c r="T266" s="50">
        <v>0.94997593411904691</v>
      </c>
      <c r="U266" s="50">
        <v>0.9258695208313269</v>
      </c>
      <c r="V266" s="50">
        <v>0.93967289916029328</v>
      </c>
      <c r="W266" s="50">
        <v>0.89772428220983347</v>
      </c>
      <c r="X266" s="50">
        <v>0.89772428220983347</v>
      </c>
      <c r="Y266" s="50">
        <v>0.98912796838177941</v>
      </c>
      <c r="Z266" s="50">
        <v>0.98912796838177941</v>
      </c>
    </row>
    <row r="267" spans="19:26">
      <c r="S267" s="58">
        <v>0.96126059891254834</v>
      </c>
      <c r="T267" s="58">
        <v>0.94881948226140844</v>
      </c>
      <c r="U267" s="50">
        <v>0.99785886875866492</v>
      </c>
      <c r="V267" s="58">
        <v>0.88596167839752626</v>
      </c>
      <c r="W267" s="50">
        <v>0.68618467131172611</v>
      </c>
      <c r="X267" s="50">
        <v>0.68618467131172611</v>
      </c>
      <c r="Y267" s="50">
        <v>0.99323193730461967</v>
      </c>
      <c r="Z267" s="50">
        <v>0.99323193730461967</v>
      </c>
    </row>
    <row r="268" spans="19:26">
      <c r="S268" s="50">
        <v>0.96186425455758184</v>
      </c>
      <c r="T268" s="50">
        <v>0.94963114549718641</v>
      </c>
      <c r="U268" s="50">
        <v>1.0171109945418286</v>
      </c>
      <c r="V268" s="50">
        <v>0.86264707540457797</v>
      </c>
      <c r="W268" s="50">
        <v>0.83161565826640504</v>
      </c>
      <c r="X268" s="50">
        <v>0.83161565826640504</v>
      </c>
      <c r="Y268" s="50">
        <v>0.98994834926066844</v>
      </c>
      <c r="Z268" s="50">
        <v>0.98994834926066844</v>
      </c>
    </row>
    <row r="269" spans="19:26">
      <c r="S269" s="50">
        <v>0.96174248453988931</v>
      </c>
      <c r="T269" s="50">
        <v>0.94944621711167154</v>
      </c>
      <c r="U269" s="50">
        <v>0.91040016449824479</v>
      </c>
      <c r="V269" s="50">
        <v>1.0166250879186349</v>
      </c>
      <c r="W269" s="50">
        <v>0.67795699324432324</v>
      </c>
      <c r="X269" s="50">
        <v>0.67795699324432324</v>
      </c>
      <c r="Y269" s="50">
        <v>0.99562932628539014</v>
      </c>
      <c r="Z269" s="50">
        <v>0.99562932628539014</v>
      </c>
    </row>
    <row r="270" spans="19:26">
      <c r="S270" s="50">
        <v>0.96251064561635469</v>
      </c>
      <c r="T270" s="50">
        <v>0.95046253233921796</v>
      </c>
      <c r="U270" s="50">
        <v>1.0092099239267383</v>
      </c>
      <c r="V270" s="50">
        <v>1.0389069934324269</v>
      </c>
      <c r="W270" s="50">
        <v>0.75214472287503942</v>
      </c>
      <c r="X270" s="50">
        <v>0.75214472287503942</v>
      </c>
      <c r="Y270" s="50">
        <v>0.99531285140194847</v>
      </c>
      <c r="Z270" s="50">
        <v>0.99531285140194847</v>
      </c>
    </row>
    <row r="271" spans="19:26">
      <c r="S271" s="50">
        <v>0.96364771451384856</v>
      </c>
      <c r="T271" s="50">
        <v>0.95195026339332367</v>
      </c>
      <c r="U271" s="50">
        <v>1.0533454230437465</v>
      </c>
      <c r="V271" s="50">
        <v>0.90968173642365668</v>
      </c>
      <c r="W271" s="50">
        <v>0.77453623179867503</v>
      </c>
      <c r="X271" s="50">
        <v>0.77453623179867503</v>
      </c>
      <c r="Y271" s="50">
        <v>0.99923927860975592</v>
      </c>
      <c r="Z271" s="50">
        <v>0.99923927860975592</v>
      </c>
    </row>
    <row r="272" spans="19:26">
      <c r="S272" s="50">
        <v>0.95961009727188529</v>
      </c>
      <c r="T272" s="50">
        <v>0.94668609597807085</v>
      </c>
      <c r="U272" s="50">
        <v>0.83061415697301788</v>
      </c>
      <c r="V272" s="50">
        <v>0.94698147865750104</v>
      </c>
      <c r="W272" s="50">
        <v>0.77937367199044461</v>
      </c>
      <c r="X272" s="50">
        <v>0.77937367199044461</v>
      </c>
      <c r="Y272" s="50">
        <v>0.98343310438196208</v>
      </c>
      <c r="Z272" s="50">
        <v>0.98343310438196208</v>
      </c>
    </row>
    <row r="273" spans="19:26">
      <c r="S273" s="50">
        <v>0.96357391547260951</v>
      </c>
      <c r="T273" s="50">
        <v>0.95185122226834906</v>
      </c>
      <c r="U273" s="50">
        <v>0.89791111784913735</v>
      </c>
      <c r="V273" s="50">
        <v>0.98919642221544501</v>
      </c>
      <c r="W273" s="50">
        <v>0.75718146389259744</v>
      </c>
      <c r="X273" s="50">
        <v>0.75718146389259744</v>
      </c>
      <c r="Y273" s="50">
        <v>0.9996493522810953</v>
      </c>
      <c r="Z273" s="50">
        <v>0.9996493522810953</v>
      </c>
    </row>
    <row r="274" spans="19:26">
      <c r="S274" s="50">
        <v>0.96198033894207091</v>
      </c>
      <c r="T274" s="50">
        <v>0.94977958564591713</v>
      </c>
      <c r="U274" s="50">
        <v>1.029121053059924</v>
      </c>
      <c r="V274" s="50">
        <v>1.0195122666570018</v>
      </c>
      <c r="W274" s="50">
        <v>0.81003400605533593</v>
      </c>
      <c r="X274" s="50">
        <v>0.81003400605533593</v>
      </c>
      <c r="Y274" s="50">
        <v>0.99106579722158372</v>
      </c>
      <c r="Z274" s="50">
        <v>0.99106579722158372</v>
      </c>
    </row>
    <row r="275" spans="19:26">
      <c r="S275" s="50">
        <v>0.95597745605923956</v>
      </c>
      <c r="T275" s="50">
        <v>0.9419678854285114</v>
      </c>
      <c r="U275" s="50">
        <v>1.0183837996867287</v>
      </c>
      <c r="V275" s="50">
        <v>0.89940571296464733</v>
      </c>
      <c r="W275" s="50">
        <v>0.81842690413640151</v>
      </c>
      <c r="X275" s="50">
        <v>0.81842690413640151</v>
      </c>
      <c r="Y275" s="50">
        <v>0.97130629740453256</v>
      </c>
      <c r="Z275" s="50">
        <v>0.97130629740453256</v>
      </c>
    </row>
    <row r="276" spans="19:26">
      <c r="S276" s="50">
        <v>0.960764326190785</v>
      </c>
      <c r="T276" s="50">
        <v>0.94819469284804625</v>
      </c>
      <c r="U276" s="50">
        <v>0.97210286060581041</v>
      </c>
      <c r="V276" s="50">
        <v>1.2079580103536256</v>
      </c>
      <c r="W276" s="50">
        <v>0.81233251634410419</v>
      </c>
      <c r="X276" s="50">
        <v>0.81233251634410419</v>
      </c>
      <c r="Y276" s="50">
        <v>0.98646334369436772</v>
      </c>
      <c r="Z276" s="50">
        <v>0.98646334369436772</v>
      </c>
    </row>
    <row r="277" spans="19:26">
      <c r="S277" s="50">
        <v>0.95829709046274514</v>
      </c>
      <c r="T277" s="50">
        <v>0.94497912542104656</v>
      </c>
      <c r="U277" s="50">
        <v>0.92697766608735943</v>
      </c>
      <c r="V277" s="50">
        <v>0.97395803715990237</v>
      </c>
      <c r="W277" s="50">
        <v>0.79201716550531787</v>
      </c>
      <c r="X277" s="50">
        <v>0.79201716550531787</v>
      </c>
      <c r="Y277" s="50">
        <v>0.97876353414536099</v>
      </c>
      <c r="Z277" s="50">
        <v>0.97876353414536099</v>
      </c>
    </row>
    <row r="278" spans="19:26">
      <c r="S278" s="50">
        <v>0.9617575179467589</v>
      </c>
      <c r="T278" s="50">
        <v>0.94948907937387728</v>
      </c>
      <c r="U278" s="50">
        <v>0.91905979583236652</v>
      </c>
      <c r="V278" s="50">
        <v>0.91176100460536358</v>
      </c>
      <c r="W278" s="50">
        <v>0.8104938167781941</v>
      </c>
      <c r="X278" s="50">
        <v>0.8104938167781941</v>
      </c>
      <c r="Y278" s="50">
        <v>0.9901948604877242</v>
      </c>
      <c r="Z278" s="50">
        <v>0.9901948604877242</v>
      </c>
    </row>
    <row r="279" spans="19:26">
      <c r="S279" s="50">
        <v>0.94964662460182525</v>
      </c>
      <c r="T279" s="50">
        <v>0.93373734034699529</v>
      </c>
      <c r="U279" s="50">
        <v>1.1003199655049576</v>
      </c>
      <c r="V279" s="50">
        <v>1.0861472175835805</v>
      </c>
      <c r="W279" s="50">
        <v>0.70325757156238211</v>
      </c>
      <c r="X279" s="50">
        <v>0.70325757156238211</v>
      </c>
      <c r="Y279" s="50">
        <v>0.95875358689798362</v>
      </c>
      <c r="Z279" s="50">
        <v>0.95875358689798362</v>
      </c>
    </row>
    <row r="280" spans="19:26">
      <c r="S280" s="50">
        <v>0.94416104877146745</v>
      </c>
      <c r="T280" s="50">
        <v>0.92665633650535839</v>
      </c>
      <c r="U280" s="50">
        <v>0.90169736488944596</v>
      </c>
      <c r="V280" s="50">
        <v>1.0526442768578954</v>
      </c>
      <c r="W280" s="50">
        <v>0.7173786606300051</v>
      </c>
      <c r="X280" s="50">
        <v>0.7173786606300051</v>
      </c>
      <c r="Y280" s="50">
        <v>0.94815768605774986</v>
      </c>
      <c r="Z280" s="50">
        <v>0.94815768605774986</v>
      </c>
    </row>
    <row r="281" spans="19:26">
      <c r="S281" s="50">
        <v>0.96385228798982436</v>
      </c>
      <c r="T281" s="50">
        <v>0.95222038506760343</v>
      </c>
      <c r="U281" s="50">
        <v>0.95715999250625095</v>
      </c>
      <c r="V281" s="50">
        <v>0.84372683675582483</v>
      </c>
      <c r="W281" s="50">
        <v>0.79517940753187577</v>
      </c>
      <c r="X281" s="50">
        <v>0.79517940753187577</v>
      </c>
      <c r="Y281" s="50">
        <v>0.99931635039218358</v>
      </c>
      <c r="Z281" s="50">
        <v>0.99931635039218358</v>
      </c>
    </row>
    <row r="282" spans="19:26">
      <c r="S282" s="50">
        <v>0.96319377807850282</v>
      </c>
      <c r="T282" s="50">
        <v>0.95135225775307275</v>
      </c>
      <c r="U282" s="50">
        <v>0.96671373522941506</v>
      </c>
      <c r="V282" s="50">
        <v>0.93722025452032909</v>
      </c>
      <c r="W282" s="50">
        <v>0.74098476443524863</v>
      </c>
      <c r="X282" s="50">
        <v>0.74098476443524863</v>
      </c>
      <c r="Y282" s="50">
        <v>0.99870056186016765</v>
      </c>
      <c r="Z282" s="50">
        <v>0.99870056186016765</v>
      </c>
    </row>
    <row r="283" spans="19:26">
      <c r="S283" s="50">
        <v>0.96089523906683694</v>
      </c>
      <c r="T283" s="50">
        <v>0.94835272174216179</v>
      </c>
      <c r="U283" s="50">
        <v>0.86583342817838482</v>
      </c>
      <c r="V283" s="50">
        <v>0.96961555653108888</v>
      </c>
      <c r="W283" s="50">
        <v>0.73463030012005626</v>
      </c>
      <c r="X283" s="50">
        <v>0.73463030012005626</v>
      </c>
      <c r="Y283" s="50">
        <v>0.98963358195862405</v>
      </c>
      <c r="Z283" s="50">
        <v>0.98963358195862405</v>
      </c>
    </row>
    <row r="284" spans="19:26">
      <c r="S284" s="50">
        <v>0.96219972363582851</v>
      </c>
      <c r="T284" s="50">
        <v>0.95004899592495173</v>
      </c>
      <c r="U284" s="50">
        <v>0.89105267335442018</v>
      </c>
      <c r="V284" s="50">
        <v>0.9899760664547349</v>
      </c>
      <c r="W284" s="50">
        <v>0.70835147797191977</v>
      </c>
      <c r="X284" s="50">
        <v>0.70835147797191977</v>
      </c>
      <c r="Y284" s="50">
        <v>0.99598470362633063</v>
      </c>
      <c r="Z284" s="50">
        <v>0.99598470362633063</v>
      </c>
    </row>
    <row r="285" spans="19:26">
      <c r="S285" s="50">
        <v>0.95974653134819921</v>
      </c>
      <c r="T285" s="50">
        <v>0.94687465081746602</v>
      </c>
      <c r="U285" s="50">
        <v>0.88560304804050782</v>
      </c>
      <c r="V285" s="50">
        <v>0.84649386676914273</v>
      </c>
      <c r="W285" s="50">
        <v>0.85406491971562537</v>
      </c>
      <c r="X285" s="50">
        <v>0.85406491971562537</v>
      </c>
      <c r="Y285" s="50">
        <v>0.98182631757745764</v>
      </c>
      <c r="Z285" s="50">
        <v>0.98182631757745764</v>
      </c>
    </row>
    <row r="286" spans="19:26">
      <c r="S286" s="50">
        <v>0.95831339116639702</v>
      </c>
      <c r="T286" s="50">
        <v>0.94498612173602881</v>
      </c>
      <c r="U286" s="50">
        <v>0.95010074130035405</v>
      </c>
      <c r="V286" s="50">
        <v>0.92274263648993393</v>
      </c>
      <c r="W286" s="50">
        <v>0.71442662366804044</v>
      </c>
      <c r="X286" s="50">
        <v>0.71442662366804044</v>
      </c>
      <c r="Y286" s="50">
        <v>0.98130659700149614</v>
      </c>
      <c r="Z286" s="50">
        <v>0.98130659700149614</v>
      </c>
    </row>
    <row r="287" spans="19:26">
      <c r="S287" s="50">
        <v>0.9570815653829472</v>
      </c>
      <c r="T287" s="50">
        <v>0.94340021126840545</v>
      </c>
      <c r="U287" s="50">
        <v>0.92099937918439834</v>
      </c>
      <c r="V287" s="50">
        <v>1.1169134242085992</v>
      </c>
      <c r="W287" s="50">
        <v>0.80345005582575368</v>
      </c>
      <c r="X287" s="50">
        <v>0.80345005582575368</v>
      </c>
      <c r="Y287" s="50">
        <v>0.97478068178838828</v>
      </c>
      <c r="Z287" s="50">
        <v>0.97478068178838828</v>
      </c>
    </row>
    <row r="288" spans="19:26">
      <c r="S288" s="50">
        <v>0.95990776650392517</v>
      </c>
      <c r="T288" s="50">
        <v>0.94707564615359974</v>
      </c>
      <c r="U288" s="50">
        <v>0.95423414414697016</v>
      </c>
      <c r="V288" s="50">
        <v>0.96158808832819576</v>
      </c>
      <c r="W288" s="50">
        <v>0.79123132423362574</v>
      </c>
      <c r="X288" s="50">
        <v>0.79123132423362574</v>
      </c>
      <c r="Y288" s="50">
        <v>0.98408739801536349</v>
      </c>
      <c r="Z288" s="50">
        <v>0.98408739801536349</v>
      </c>
    </row>
    <row r="289" spans="19:26">
      <c r="S289" s="50">
        <v>0.95050490860429004</v>
      </c>
      <c r="T289" s="50">
        <v>0.93483994774501877</v>
      </c>
      <c r="U289" s="50">
        <v>0.92120132536894273</v>
      </c>
      <c r="V289" s="50">
        <v>0.89271200141973139</v>
      </c>
      <c r="W289" s="50">
        <v>0.67241168611883972</v>
      </c>
      <c r="X289" s="50">
        <v>0.67241168611883972</v>
      </c>
      <c r="Y289" s="50">
        <v>0.96145855795564494</v>
      </c>
      <c r="Z289" s="50">
        <v>0.96145855795564494</v>
      </c>
    </row>
    <row r="290" spans="19:26">
      <c r="S290" s="50">
        <v>0.96342124745678426</v>
      </c>
      <c r="T290" s="50">
        <v>0.95164930104349443</v>
      </c>
      <c r="U290" s="50">
        <v>0.86611265998336795</v>
      </c>
      <c r="V290" s="50">
        <v>0.87209131956626706</v>
      </c>
      <c r="W290" s="50">
        <v>0.74137024996997214</v>
      </c>
      <c r="X290" s="50">
        <v>0.74137024996997214</v>
      </c>
      <c r="Y290" s="50">
        <v>0.99968261609803366</v>
      </c>
      <c r="Z290" s="50">
        <v>0.99968261609803366</v>
      </c>
    </row>
    <row r="291" spans="19:26">
      <c r="S291" s="50">
        <v>0.96369256532762027</v>
      </c>
      <c r="T291" s="50">
        <v>0.95201384601528238</v>
      </c>
      <c r="U291" s="50">
        <v>0.92353072314174467</v>
      </c>
      <c r="V291" s="50">
        <v>0.93408767767582157</v>
      </c>
      <c r="W291" s="50">
        <v>0.80987265814701903</v>
      </c>
      <c r="X291" s="50">
        <v>0.80987265814701903</v>
      </c>
      <c r="Y291" s="50">
        <v>0.99806995690021538</v>
      </c>
      <c r="Z291" s="50">
        <v>0.99806995690021538</v>
      </c>
    </row>
    <row r="292" spans="19:26">
      <c r="S292" s="50">
        <v>0.96043647628860063</v>
      </c>
      <c r="T292" s="50">
        <v>0.94775426437353338</v>
      </c>
      <c r="U292" s="50">
        <v>0.99723853761563264</v>
      </c>
      <c r="V292" s="50">
        <v>0.91489139313701973</v>
      </c>
      <c r="W292" s="50">
        <v>0.73166311885182422</v>
      </c>
      <c r="X292" s="50">
        <v>0.73166311885182422</v>
      </c>
      <c r="Y292" s="50">
        <v>0.98803834512782651</v>
      </c>
      <c r="Z292" s="50">
        <v>0.98803834512782651</v>
      </c>
    </row>
    <row r="293" spans="19:26">
      <c r="S293" s="50">
        <v>0.95167119991310523</v>
      </c>
      <c r="T293" s="50">
        <v>0.93638741672189918</v>
      </c>
      <c r="U293" s="50">
        <v>1.0559193200445529</v>
      </c>
      <c r="V293" s="50">
        <v>0.81765582774042389</v>
      </c>
      <c r="W293" s="50">
        <v>0.84893144764480966</v>
      </c>
      <c r="X293" s="50">
        <v>0.84893144764480966</v>
      </c>
      <c r="Y293" s="50">
        <v>0.96019604688768356</v>
      </c>
      <c r="Z293" s="50">
        <v>0.96019604688768356</v>
      </c>
    </row>
    <row r="294" spans="19:26">
      <c r="S294" s="50">
        <v>0.96380855277964117</v>
      </c>
      <c r="T294" s="50">
        <v>0.95216958406429331</v>
      </c>
      <c r="U294" s="50">
        <v>0.92364812888827896</v>
      </c>
      <c r="V294" s="50">
        <v>0.82838011839493153</v>
      </c>
      <c r="W294" s="50">
        <v>0.84346286405149862</v>
      </c>
      <c r="X294" s="50">
        <v>0.84346286405149862</v>
      </c>
      <c r="Y294" s="50">
        <v>0.99741285018538484</v>
      </c>
      <c r="Z294" s="50">
        <v>0.99741285018538484</v>
      </c>
    </row>
    <row r="295" spans="19:26">
      <c r="S295" s="50">
        <v>0.96043695301406673</v>
      </c>
      <c r="T295" s="50">
        <v>0.94776104758446922</v>
      </c>
      <c r="U295" s="50">
        <v>1.0000534250831925</v>
      </c>
      <c r="V295" s="50">
        <v>0.80627818184997724</v>
      </c>
      <c r="W295" s="50">
        <v>0.76662897609520453</v>
      </c>
      <c r="X295" s="50">
        <v>0.76662897609520453</v>
      </c>
      <c r="Y295" s="50">
        <v>0.98675118812992479</v>
      </c>
      <c r="Z295" s="50">
        <v>0.98675118812992479</v>
      </c>
    </row>
    <row r="296" spans="19:26">
      <c r="S296" s="50">
        <v>0.9590187404747974</v>
      </c>
      <c r="T296" s="50">
        <v>0.94591606310230614</v>
      </c>
      <c r="U296" s="50">
        <v>0.93544127248055442</v>
      </c>
      <c r="V296" s="50">
        <v>1.0108733043422329</v>
      </c>
      <c r="W296" s="50">
        <v>0.77866189962153254</v>
      </c>
      <c r="X296" s="50">
        <v>0.77866189962153254</v>
      </c>
      <c r="Y296" s="50">
        <v>0.98147255149015844</v>
      </c>
      <c r="Z296" s="50">
        <v>0.98147255149015844</v>
      </c>
    </row>
    <row r="297" spans="19:26">
      <c r="S297" s="50">
        <v>0.95047740111663703</v>
      </c>
      <c r="T297" s="50">
        <v>0.93483883086434783</v>
      </c>
      <c r="U297" s="50">
        <v>0.92080934449053931</v>
      </c>
      <c r="V297" s="50">
        <v>0.82246677354833286</v>
      </c>
      <c r="W297" s="50">
        <v>0.83010173577149104</v>
      </c>
      <c r="X297" s="50">
        <v>0.83010173577149104</v>
      </c>
      <c r="Y297" s="50">
        <v>0.95795546756900785</v>
      </c>
      <c r="Z297" s="50">
        <v>0.95795546756900785</v>
      </c>
    </row>
    <row r="298" spans="19:26">
      <c r="S298" s="50">
        <v>0.9553690543197183</v>
      </c>
      <c r="T298" s="50">
        <v>0.94116622143193407</v>
      </c>
      <c r="U298" s="50">
        <v>0.86749876490947464</v>
      </c>
      <c r="V298" s="50">
        <v>0.85014171158904939</v>
      </c>
      <c r="W298" s="50">
        <v>0.75272731427132133</v>
      </c>
      <c r="X298" s="50">
        <v>0.75272731427132133</v>
      </c>
      <c r="Y298" s="50">
        <v>0.97125696075656254</v>
      </c>
      <c r="Z298" s="50">
        <v>0.97125696075656254</v>
      </c>
    </row>
    <row r="299" spans="19:26">
      <c r="S299" s="50">
        <v>0.95730227476518448</v>
      </c>
      <c r="T299" s="50">
        <v>0.9436648814501003</v>
      </c>
      <c r="U299" s="50">
        <v>0.9936949918842215</v>
      </c>
      <c r="V299" s="50">
        <v>1.0380552386979278</v>
      </c>
      <c r="W299" s="50">
        <v>0.68804207280050567</v>
      </c>
      <c r="X299" s="50">
        <v>0.68804207280050567</v>
      </c>
      <c r="Y299" s="50">
        <v>0.97905388940106608</v>
      </c>
      <c r="Z299" s="50">
        <v>0.97905388940106608</v>
      </c>
    </row>
    <row r="300" spans="19:26">
      <c r="S300" s="50">
        <v>0.96045515902667888</v>
      </c>
      <c r="T300" s="50">
        <v>0.94779858279027207</v>
      </c>
      <c r="U300" s="50">
        <v>0.96295657701650406</v>
      </c>
      <c r="V300" s="50">
        <v>1.0609277564837403</v>
      </c>
      <c r="W300" s="50">
        <v>0.86218380199830225</v>
      </c>
      <c r="X300" s="50">
        <v>0.86218380199830225</v>
      </c>
      <c r="Y300" s="50">
        <v>0.98401951075350091</v>
      </c>
      <c r="Z300" s="50">
        <v>0.98401951075350091</v>
      </c>
    </row>
    <row r="301" spans="19:26">
      <c r="S301" s="50">
        <v>0.96050921085204521</v>
      </c>
      <c r="T301" s="50">
        <v>0.94785852081448263</v>
      </c>
      <c r="U301" s="50">
        <v>0.99348171839119592</v>
      </c>
      <c r="V301" s="50">
        <v>1.0292025520499737</v>
      </c>
      <c r="W301" s="50">
        <v>0.78726419870275555</v>
      </c>
      <c r="X301" s="50">
        <v>0.78726419870275555</v>
      </c>
      <c r="Y301" s="50">
        <v>0.98632468671620932</v>
      </c>
      <c r="Z301" s="50">
        <v>0.98632468671620932</v>
      </c>
    </row>
    <row r="302" spans="19:26">
      <c r="S302" s="50">
        <v>0.96237400613082624</v>
      </c>
      <c r="T302" s="50">
        <v>0.95027036871139825</v>
      </c>
      <c r="U302" s="50">
        <v>0.92709530439854937</v>
      </c>
      <c r="V302" s="50">
        <v>0.9483954909527339</v>
      </c>
      <c r="W302" s="50">
        <v>0.67865334437042335</v>
      </c>
      <c r="X302" s="50">
        <v>0.67865334437042335</v>
      </c>
      <c r="Y302" s="50">
        <v>0.9982752098169354</v>
      </c>
      <c r="Z302" s="50">
        <v>0.9982752098169354</v>
      </c>
    </row>
    <row r="303" spans="19:26">
      <c r="S303" s="50">
        <v>0.96300197995822912</v>
      </c>
      <c r="T303" s="50">
        <v>0.95111210709795235</v>
      </c>
      <c r="U303" s="50">
        <v>0.9954363672838763</v>
      </c>
      <c r="V303" s="50">
        <v>0.99194943863075191</v>
      </c>
      <c r="W303" s="50">
        <v>0.80778172903795364</v>
      </c>
      <c r="X303" s="50">
        <v>0.80778172903795364</v>
      </c>
      <c r="Y303" s="50">
        <v>0.99522711700218069</v>
      </c>
      <c r="Z303" s="50">
        <v>0.99522711700218069</v>
      </c>
    </row>
    <row r="304" spans="19:26">
      <c r="S304" s="50">
        <v>0.95976426125556558</v>
      </c>
      <c r="T304" s="50">
        <v>0.94688532676694626</v>
      </c>
      <c r="U304" s="50">
        <v>0.97986128858625843</v>
      </c>
      <c r="V304" s="50">
        <v>0.88521452793243782</v>
      </c>
      <c r="W304" s="50">
        <v>0.77007924340133727</v>
      </c>
      <c r="X304" s="50">
        <v>0.77007924340133727</v>
      </c>
      <c r="Y304" s="50">
        <v>0.98425957032525124</v>
      </c>
      <c r="Z304" s="50">
        <v>0.98425957032525124</v>
      </c>
    </row>
    <row r="305" spans="19:26">
      <c r="S305" s="50">
        <v>0.96235909663915253</v>
      </c>
      <c r="T305" s="50">
        <v>0.95028060268099579</v>
      </c>
      <c r="U305" s="50">
        <v>1.0910813978053859</v>
      </c>
      <c r="V305" s="50">
        <v>1.0502399671213452</v>
      </c>
      <c r="W305" s="50">
        <v>0.86435831678097297</v>
      </c>
      <c r="X305" s="50">
        <v>0.86435831678097297</v>
      </c>
      <c r="Y305" s="50">
        <v>0.9908995502281861</v>
      </c>
      <c r="Z305" s="50">
        <v>0.9908995502281861</v>
      </c>
    </row>
    <row r="306" spans="19:26">
      <c r="S306" s="50">
        <v>0.96199425892387058</v>
      </c>
      <c r="T306" s="50">
        <v>0.94979630854502606</v>
      </c>
      <c r="U306" s="50">
        <v>0.96059580696800506</v>
      </c>
      <c r="V306" s="50">
        <v>1.1165649997856755</v>
      </c>
      <c r="W306" s="50">
        <v>0.79999398334508121</v>
      </c>
      <c r="X306" s="50">
        <v>0.79999398334508121</v>
      </c>
      <c r="Y306" s="50">
        <v>0.99145146847867638</v>
      </c>
      <c r="Z306" s="50">
        <v>0.99145146847867638</v>
      </c>
    </row>
    <row r="307" spans="19:26">
      <c r="S307" s="50">
        <v>0.96447223700561613</v>
      </c>
      <c r="T307" s="50">
        <v>0.95303793987034535</v>
      </c>
      <c r="U307" s="50">
        <v>0.9815233300452314</v>
      </c>
      <c r="V307" s="50">
        <v>0.93076929780813367</v>
      </c>
      <c r="W307" s="50">
        <v>0.85739015892852399</v>
      </c>
      <c r="X307" s="50">
        <v>0.85739015892852399</v>
      </c>
      <c r="Y307" s="50">
        <v>0.99984796237114304</v>
      </c>
      <c r="Z307" s="50">
        <v>0.99984796237114304</v>
      </c>
    </row>
    <row r="308" spans="19:26">
      <c r="S308" s="50">
        <v>0.96325845645278685</v>
      </c>
      <c r="T308" s="50">
        <v>0.95145426472798456</v>
      </c>
      <c r="U308" s="50">
        <v>1.0291365432524411</v>
      </c>
      <c r="V308" s="50">
        <v>0.96846100833161786</v>
      </c>
      <c r="W308" s="50">
        <v>0.86665645199353691</v>
      </c>
      <c r="X308" s="50">
        <v>0.86665645199353691</v>
      </c>
      <c r="Y308" s="50">
        <v>0.99440116670226475</v>
      </c>
      <c r="Z308" s="50">
        <v>0.99440116670226475</v>
      </c>
    </row>
    <row r="309" spans="19:26">
      <c r="S309" s="50">
        <v>0.95700008533741476</v>
      </c>
      <c r="T309" s="50">
        <v>0.94329275677284596</v>
      </c>
      <c r="U309" s="50">
        <v>0.95323479213417972</v>
      </c>
      <c r="V309" s="50">
        <v>1.0446040233686318</v>
      </c>
      <c r="W309" s="50">
        <v>0.79400098546671272</v>
      </c>
      <c r="X309" s="50">
        <v>0.79400098546671272</v>
      </c>
      <c r="Y309" s="50">
        <v>0.97478077327037482</v>
      </c>
      <c r="Z309" s="50">
        <v>0.97478077327037482</v>
      </c>
    </row>
    <row r="310" spans="19:26">
      <c r="S310" s="50">
        <v>0.96166809123203545</v>
      </c>
      <c r="T310" s="50">
        <v>0.94937899033256867</v>
      </c>
      <c r="U310" s="50">
        <v>1.0113887382447404</v>
      </c>
      <c r="V310" s="50">
        <v>0.92159868226166863</v>
      </c>
      <c r="W310" s="50">
        <v>0.8599698659609567</v>
      </c>
      <c r="X310" s="50">
        <v>0.8599698659609567</v>
      </c>
      <c r="Y310" s="50">
        <v>0.98840752477560256</v>
      </c>
      <c r="Z310" s="50">
        <v>0.98840752477560256</v>
      </c>
    </row>
    <row r="311" spans="19:26">
      <c r="S311" s="50">
        <v>0.96356777134457072</v>
      </c>
      <c r="T311" s="50">
        <v>0.95184917420516202</v>
      </c>
      <c r="U311" s="50">
        <v>1.0700882429298386</v>
      </c>
      <c r="V311" s="50">
        <v>0.85689017127685574</v>
      </c>
      <c r="W311" s="50">
        <v>0.79721327819437249</v>
      </c>
      <c r="X311" s="50">
        <v>0.79721327819437249</v>
      </c>
      <c r="Y311" s="50">
        <v>0.99799916511692177</v>
      </c>
      <c r="Z311" s="50">
        <v>0.99799916511692177</v>
      </c>
    </row>
    <row r="312" spans="19:26">
      <c r="S312" s="50">
        <v>0.95695973441792603</v>
      </c>
      <c r="T312" s="50">
        <v>0.94322366019662118</v>
      </c>
      <c r="U312" s="50">
        <v>1.132044943023004</v>
      </c>
      <c r="V312" s="50">
        <v>1.025087824115734</v>
      </c>
      <c r="W312" s="50">
        <v>0.70668822691153244</v>
      </c>
      <c r="X312" s="50">
        <v>0.70668822691153244</v>
      </c>
      <c r="Y312" s="50">
        <v>0.97729199540821587</v>
      </c>
      <c r="Z312" s="50">
        <v>0.97729199540821587</v>
      </c>
    </row>
    <row r="313" spans="19:26">
      <c r="S313" s="50">
        <v>0.96348236675328058</v>
      </c>
      <c r="T313" s="50">
        <v>0.95173638401362026</v>
      </c>
      <c r="U313" s="50">
        <v>0.92382702889530888</v>
      </c>
      <c r="V313" s="50">
        <v>0.88968626658373462</v>
      </c>
      <c r="W313" s="50">
        <v>0.78815451152995319</v>
      </c>
      <c r="X313" s="50">
        <v>0.78815451152995319</v>
      </c>
      <c r="Y313" s="50">
        <v>0.99797636108762844</v>
      </c>
      <c r="Z313" s="50">
        <v>0.99797636108762844</v>
      </c>
    </row>
    <row r="314" spans="19:26">
      <c r="S314" s="50">
        <v>0.96097593273350956</v>
      </c>
      <c r="T314" s="50">
        <v>0.94846158612946119</v>
      </c>
      <c r="U314" s="50">
        <v>1.0609761901439403</v>
      </c>
      <c r="V314" s="50">
        <v>0.98129419923903194</v>
      </c>
      <c r="W314" s="50">
        <v>0.75549610310580428</v>
      </c>
      <c r="X314" s="50">
        <v>0.75549610310580428</v>
      </c>
      <c r="Y314" s="50">
        <v>0.98913223331551281</v>
      </c>
      <c r="Z314" s="50">
        <v>0.98913223331551281</v>
      </c>
    </row>
    <row r="315" spans="19:26">
      <c r="S315" s="50">
        <v>0.95445794396465611</v>
      </c>
      <c r="T315" s="50">
        <v>0.93999699598048592</v>
      </c>
      <c r="U315" s="50">
        <v>0.99211417185327555</v>
      </c>
      <c r="V315" s="50">
        <v>1.1405347165721886</v>
      </c>
      <c r="W315" s="50">
        <v>0.82993619246049977</v>
      </c>
      <c r="X315" s="50">
        <v>0.82993619246049977</v>
      </c>
      <c r="Y315" s="50">
        <v>0.96707498449110374</v>
      </c>
      <c r="Z315" s="50">
        <v>0.96707498449110374</v>
      </c>
    </row>
    <row r="316" spans="19:26">
      <c r="S316" s="50">
        <v>0.95597124021021351</v>
      </c>
      <c r="T316" s="50">
        <v>0.94195299892169049</v>
      </c>
      <c r="U316" s="50">
        <v>0.85311754679496943</v>
      </c>
      <c r="V316" s="50">
        <v>1.0575296073698286</v>
      </c>
      <c r="W316" s="50">
        <v>0.77763955601959844</v>
      </c>
      <c r="X316" s="50">
        <v>0.77763955601959844</v>
      </c>
      <c r="Y316" s="50">
        <v>0.97226280346000016</v>
      </c>
      <c r="Z316" s="50">
        <v>0.97226280346000016</v>
      </c>
    </row>
    <row r="317" spans="19:26">
      <c r="S317" s="50">
        <v>0.94643541409202425</v>
      </c>
      <c r="T317" s="50">
        <v>0.92960968030900193</v>
      </c>
      <c r="U317" s="50">
        <v>1.0394257442330996</v>
      </c>
      <c r="V317" s="50">
        <v>0.90266766734470483</v>
      </c>
      <c r="W317" s="50">
        <v>0.80221628832772862</v>
      </c>
      <c r="X317" s="50">
        <v>0.80221628832772862</v>
      </c>
      <c r="Y317" s="50">
        <v>0.9506473390431599</v>
      </c>
      <c r="Z317" s="50">
        <v>0.9506473390431599</v>
      </c>
    </row>
    <row r="318" spans="19:26">
      <c r="S318" s="50">
        <v>0.96168533145941393</v>
      </c>
      <c r="T318" s="50">
        <v>0.94938566623939369</v>
      </c>
      <c r="U318" s="50">
        <v>1.0170366704466243</v>
      </c>
      <c r="V318" s="50">
        <v>1.0569943112526581</v>
      </c>
      <c r="W318" s="50">
        <v>0.75058453246755008</v>
      </c>
      <c r="X318" s="50">
        <v>0.75058453246755008</v>
      </c>
      <c r="Y318" s="50">
        <v>0.99204562590186129</v>
      </c>
      <c r="Z318" s="50">
        <v>0.99204562590186129</v>
      </c>
    </row>
    <row r="319" spans="19:26">
      <c r="S319" s="50">
        <v>0.93731753978864185</v>
      </c>
      <c r="T319" s="50">
        <v>0.91785053371275294</v>
      </c>
      <c r="U319" s="50">
        <v>0.79368186046956379</v>
      </c>
      <c r="V319" s="50">
        <v>0.80116253869211007</v>
      </c>
      <c r="W319" s="50">
        <v>0.7055320363500277</v>
      </c>
      <c r="X319" s="50">
        <v>0.7055320363500277</v>
      </c>
      <c r="Y319" s="50">
        <v>0.93835643517487111</v>
      </c>
      <c r="Z319" s="50">
        <v>0.93835643517487111</v>
      </c>
    </row>
    <row r="320" spans="19:26">
      <c r="S320" s="50">
        <v>0.96277035582480441</v>
      </c>
      <c r="T320" s="50">
        <v>0.95081376347474555</v>
      </c>
      <c r="U320" s="50">
        <v>1.0739296974735861</v>
      </c>
      <c r="V320" s="50">
        <v>1.0119525512880785</v>
      </c>
      <c r="W320" s="50">
        <v>0.83724902548759594</v>
      </c>
      <c r="X320" s="50">
        <v>0.83724902548759594</v>
      </c>
      <c r="Y320" s="50">
        <v>0.99331314115137703</v>
      </c>
      <c r="Z320" s="50">
        <v>0.99331314115137703</v>
      </c>
    </row>
    <row r="321" spans="19:26">
      <c r="S321" s="50">
        <v>0.95765819444602818</v>
      </c>
      <c r="T321" s="50">
        <v>0.94414969032773788</v>
      </c>
      <c r="U321" s="50">
        <v>1.0431852823508834</v>
      </c>
      <c r="V321" s="50">
        <v>0.89012887628739035</v>
      </c>
      <c r="W321" s="50">
        <v>0.8019448742138493</v>
      </c>
      <c r="X321" s="50">
        <v>0.8019448742138493</v>
      </c>
      <c r="Y321" s="50">
        <v>0.97653101906498363</v>
      </c>
      <c r="Z321" s="50">
        <v>0.97653101906498363</v>
      </c>
    </row>
    <row r="322" spans="19:26">
      <c r="S322" s="50">
        <v>0.95975990954679236</v>
      </c>
      <c r="T322" s="50">
        <v>0.94687526260358379</v>
      </c>
      <c r="U322" s="50">
        <v>0.94721179669847655</v>
      </c>
      <c r="V322" s="50">
        <v>0.88443863067715889</v>
      </c>
      <c r="W322" s="50">
        <v>0.74484319273902877</v>
      </c>
      <c r="X322" s="50">
        <v>0.74484319273902877</v>
      </c>
      <c r="Y322" s="50">
        <v>0.9851088478488168</v>
      </c>
      <c r="Z322" s="50">
        <v>0.9851088478488168</v>
      </c>
    </row>
    <row r="323" spans="19:26">
      <c r="S323" s="50">
        <v>0.96221950649226284</v>
      </c>
      <c r="T323" s="50">
        <v>0.95005983385491899</v>
      </c>
      <c r="U323" s="50">
        <v>0.98497437949476396</v>
      </c>
      <c r="V323" s="50">
        <v>1.0024266369574115</v>
      </c>
      <c r="W323" s="50">
        <v>0.64016097234385172</v>
      </c>
      <c r="X323" s="50">
        <v>0.64016097234385172</v>
      </c>
      <c r="Y323" s="50">
        <v>0.99994222860109694</v>
      </c>
      <c r="Z323" s="50">
        <v>0.99994222860109694</v>
      </c>
    </row>
    <row r="324" spans="19:26">
      <c r="S324" s="50">
        <v>0.96218337256045428</v>
      </c>
      <c r="T324" s="50">
        <v>0.95003988054979149</v>
      </c>
      <c r="U324" s="50">
        <v>0.90704426267450888</v>
      </c>
      <c r="V324" s="50">
        <v>0.91194925321614728</v>
      </c>
      <c r="W324" s="50">
        <v>0.7792345217853357</v>
      </c>
      <c r="X324" s="50">
        <v>0.7792345217853357</v>
      </c>
      <c r="Y324" s="50">
        <v>0.99292585872478545</v>
      </c>
      <c r="Z324" s="50">
        <v>0.99292585872478545</v>
      </c>
    </row>
    <row r="325" spans="19:26">
      <c r="S325" s="50">
        <v>0.95493779903675013</v>
      </c>
      <c r="T325" s="50">
        <v>0.94060893380507971</v>
      </c>
      <c r="U325" s="50">
        <v>1.0625785830651049</v>
      </c>
      <c r="V325" s="50">
        <v>1.0225308170783707</v>
      </c>
      <c r="W325" s="50">
        <v>0.76664705333916383</v>
      </c>
      <c r="X325" s="50">
        <v>0.76664705333916383</v>
      </c>
      <c r="Y325" s="50">
        <v>0.96973002168562694</v>
      </c>
      <c r="Z325" s="50">
        <v>0.96973002168562694</v>
      </c>
    </row>
    <row r="326" spans="19:26">
      <c r="S326" s="50">
        <v>0.96326787158040639</v>
      </c>
      <c r="T326" s="50">
        <v>0.95145285544249691</v>
      </c>
      <c r="U326" s="50">
        <v>0.93186299544753304</v>
      </c>
      <c r="V326" s="50">
        <v>0.94736523508196113</v>
      </c>
      <c r="W326" s="50">
        <v>0.76480930111471812</v>
      </c>
      <c r="X326" s="50">
        <v>0.76480930111471812</v>
      </c>
      <c r="Y326" s="50">
        <v>0.99798714392381371</v>
      </c>
      <c r="Z326" s="50">
        <v>0.99798714392381371</v>
      </c>
    </row>
    <row r="327" spans="19:26">
      <c r="S327" s="50">
        <v>0.96245039302357127</v>
      </c>
      <c r="T327" s="50">
        <v>0.95039013945851392</v>
      </c>
      <c r="U327" s="50">
        <v>0.99627482686594393</v>
      </c>
      <c r="V327" s="50">
        <v>0.98757058973642842</v>
      </c>
      <c r="W327" s="50">
        <v>0.79205049567413621</v>
      </c>
      <c r="X327" s="50">
        <v>0.79205049567413621</v>
      </c>
      <c r="Y327" s="50">
        <v>0.99353222739472347</v>
      </c>
      <c r="Z327" s="50">
        <v>0.99353222739472347</v>
      </c>
    </row>
    <row r="328" spans="19:26">
      <c r="S328" s="50">
        <v>0.96145644480283121</v>
      </c>
      <c r="T328" s="50">
        <v>0.94909285938095156</v>
      </c>
      <c r="U328" s="50">
        <v>0.99776333602612144</v>
      </c>
      <c r="V328" s="50">
        <v>0.90783862919742309</v>
      </c>
      <c r="W328" s="50">
        <v>0.7855950554507849</v>
      </c>
      <c r="X328" s="50">
        <v>0.7855950554507849</v>
      </c>
      <c r="Y328" s="50">
        <v>0.98987229606022209</v>
      </c>
      <c r="Z328" s="50">
        <v>0.98987229606022209</v>
      </c>
    </row>
    <row r="329" spans="19:26">
      <c r="S329" s="50">
        <v>0.96408552725163355</v>
      </c>
      <c r="T329" s="50">
        <v>0.95252857792800483</v>
      </c>
      <c r="U329" s="50">
        <v>0.95346875899185601</v>
      </c>
      <c r="V329" s="50">
        <v>0.92366620278476919</v>
      </c>
      <c r="W329" s="50">
        <v>0.82206762314816617</v>
      </c>
      <c r="X329" s="50">
        <v>0.82206762314816617</v>
      </c>
      <c r="Y329" s="50">
        <v>0.99934412797371597</v>
      </c>
      <c r="Z329" s="50">
        <v>0.99934412797371597</v>
      </c>
    </row>
    <row r="330" spans="19:26">
      <c r="S330" s="50">
        <v>0.96403843741044881</v>
      </c>
      <c r="T330" s="50">
        <v>0.95246401819867288</v>
      </c>
      <c r="U330" s="50">
        <v>0.90964161988753134</v>
      </c>
      <c r="V330" s="50">
        <v>0.85341657562156048</v>
      </c>
      <c r="W330" s="50">
        <v>0.79905689129113244</v>
      </c>
      <c r="X330" s="50">
        <v>0.79905689129113244</v>
      </c>
      <c r="Y330" s="50">
        <v>0.99998996768654302</v>
      </c>
      <c r="Z330" s="50">
        <v>0.99998996768654302</v>
      </c>
    </row>
    <row r="331" spans="19:26">
      <c r="S331" s="50">
        <v>0.95485406133685913</v>
      </c>
      <c r="T331" s="50">
        <v>0.94049752894926097</v>
      </c>
      <c r="U331" s="50">
        <v>0.98148839554108691</v>
      </c>
      <c r="V331" s="50">
        <v>1.0474345021554414</v>
      </c>
      <c r="W331" s="50">
        <v>0.75261926280715097</v>
      </c>
      <c r="X331" s="50">
        <v>0.75261926280715097</v>
      </c>
      <c r="Y331" s="50">
        <v>0.96986966015546683</v>
      </c>
      <c r="Z331" s="50">
        <v>0.96986966015546683</v>
      </c>
    </row>
    <row r="332" spans="19:26">
      <c r="S332" s="50">
        <v>0.89567821577543083</v>
      </c>
      <c r="T332" s="50">
        <v>0.865173004499732</v>
      </c>
      <c r="U332" s="50">
        <v>0.9061533676644683</v>
      </c>
      <c r="V332" s="50">
        <v>0.90379022501364625</v>
      </c>
      <c r="W332" s="50">
        <v>0.78337967435515177</v>
      </c>
      <c r="X332" s="50">
        <v>0.78337967435515177</v>
      </c>
      <c r="Y332" s="50">
        <v>0.90742910397508114</v>
      </c>
      <c r="Z332" s="50">
        <v>0.90742910397508114</v>
      </c>
    </row>
    <row r="333" spans="19:26">
      <c r="S333" s="50">
        <v>0.96366089767320429</v>
      </c>
      <c r="T333" s="50">
        <v>0.9519731792465016</v>
      </c>
      <c r="U333" s="50">
        <v>1.0132577630121653</v>
      </c>
      <c r="V333" s="50">
        <v>1.0021413936049672</v>
      </c>
      <c r="W333" s="50">
        <v>0.81495531296074608</v>
      </c>
      <c r="X333" s="50">
        <v>0.81495531296074608</v>
      </c>
      <c r="Y333" s="50">
        <v>0.99775097157567783</v>
      </c>
      <c r="Z333" s="50">
        <v>0.99775097157567783</v>
      </c>
    </row>
    <row r="334" spans="19:26">
      <c r="S334" s="50">
        <v>0.9424479023654827</v>
      </c>
      <c r="T334" s="50">
        <v>0.92445981806818078</v>
      </c>
      <c r="U334" s="50">
        <v>0.83017114452636487</v>
      </c>
      <c r="V334" s="50">
        <v>0.87220740956179899</v>
      </c>
      <c r="W334" s="50">
        <v>0.75888492519183359</v>
      </c>
      <c r="X334" s="50">
        <v>0.75888492519183359</v>
      </c>
      <c r="Y334" s="50">
        <v>0.94475293177483988</v>
      </c>
      <c r="Z334" s="50">
        <v>0.94475293177483988</v>
      </c>
    </row>
    <row r="335" spans="19:26">
      <c r="S335" s="50">
        <v>0.96361661373640461</v>
      </c>
      <c r="T335" s="50">
        <v>0.95190710411603374</v>
      </c>
      <c r="U335" s="50">
        <v>0.98475393771452835</v>
      </c>
      <c r="V335" s="50">
        <v>0.8651167157092079</v>
      </c>
      <c r="W335" s="50">
        <v>0.75799068290969185</v>
      </c>
      <c r="X335" s="50">
        <v>0.75799068290969185</v>
      </c>
      <c r="Y335" s="50">
        <v>0.99980313315065161</v>
      </c>
      <c r="Z335" s="50">
        <v>0.99980313315065161</v>
      </c>
    </row>
    <row r="336" spans="19:26">
      <c r="S336" s="50">
        <v>0.96306630313755981</v>
      </c>
      <c r="T336" s="50">
        <v>0.95120313795094347</v>
      </c>
      <c r="U336" s="50">
        <v>1.0004708039990864</v>
      </c>
      <c r="V336" s="50">
        <v>0.79857526998899275</v>
      </c>
      <c r="W336" s="50">
        <v>0.86352095989662347</v>
      </c>
      <c r="X336" s="50">
        <v>0.86352095989662347</v>
      </c>
      <c r="Y336" s="50">
        <v>0.99371312328703498</v>
      </c>
      <c r="Z336" s="50">
        <v>0.99371312328703498</v>
      </c>
    </row>
    <row r="337" spans="19:26">
      <c r="S337" s="50">
        <v>0.95826806633725725</v>
      </c>
      <c r="T337" s="50">
        <v>0.94493741721836944</v>
      </c>
      <c r="U337" s="50">
        <v>0.92370119136128859</v>
      </c>
      <c r="V337" s="50">
        <v>0.97737043786968658</v>
      </c>
      <c r="W337" s="50">
        <v>0.76847867306443784</v>
      </c>
      <c r="X337" s="50">
        <v>0.76847867306443784</v>
      </c>
      <c r="Y337" s="50">
        <v>0.97935133656885254</v>
      </c>
      <c r="Z337" s="50">
        <v>0.97935133656885254</v>
      </c>
    </row>
    <row r="338" spans="19:26">
      <c r="S338" s="50">
        <v>0.96186995286713695</v>
      </c>
      <c r="T338" s="50">
        <v>0.94963656017094278</v>
      </c>
      <c r="U338" s="50">
        <v>0.89932826617993666</v>
      </c>
      <c r="V338" s="50">
        <v>0.94044487625158302</v>
      </c>
      <c r="W338" s="50">
        <v>0.8166996207589774</v>
      </c>
      <c r="X338" s="50">
        <v>0.8166996207589774</v>
      </c>
      <c r="Y338" s="50">
        <v>0.99042785747543449</v>
      </c>
      <c r="Z338" s="50">
        <v>0.99042785747543449</v>
      </c>
    </row>
    <row r="339" spans="19:26">
      <c r="S339" s="50">
        <v>0.96324684314340658</v>
      </c>
      <c r="T339" s="50">
        <v>0.95142565388223665</v>
      </c>
      <c r="U339" s="50">
        <v>0.78492231563481429</v>
      </c>
      <c r="V339" s="50">
        <v>0.67901842532812007</v>
      </c>
      <c r="W339" s="50">
        <v>0.76641071844007014</v>
      </c>
      <c r="X339" s="50">
        <v>0.76641071844007014</v>
      </c>
      <c r="Y339" s="50">
        <v>0.99783020556009772</v>
      </c>
      <c r="Z339" s="50">
        <v>0.99783020556009772</v>
      </c>
    </row>
    <row r="340" spans="19:26">
      <c r="S340" s="50">
        <v>0.95638217507314371</v>
      </c>
      <c r="T340" s="50">
        <v>0.94247597417450046</v>
      </c>
      <c r="U340" s="50">
        <v>1.0666908710052041</v>
      </c>
      <c r="V340" s="50">
        <v>0.8531707557136966</v>
      </c>
      <c r="W340" s="50">
        <v>0.7210547304640218</v>
      </c>
      <c r="X340" s="50">
        <v>0.7210547304640218</v>
      </c>
      <c r="Y340" s="50">
        <v>0.97507094343616296</v>
      </c>
      <c r="Z340" s="50">
        <v>0.97507094343616296</v>
      </c>
    </row>
    <row r="341" spans="19:26">
      <c r="S341" s="50">
        <v>0.96044085234608112</v>
      </c>
      <c r="T341" s="50">
        <v>0.94776499825702887</v>
      </c>
      <c r="U341" s="50">
        <v>1.0782135762812155</v>
      </c>
      <c r="V341" s="50">
        <v>1.0279034025271252</v>
      </c>
      <c r="W341" s="50">
        <v>0.7599126000472618</v>
      </c>
      <c r="X341" s="50">
        <v>0.7599126000472618</v>
      </c>
      <c r="Y341" s="50">
        <v>0.98699967345041473</v>
      </c>
      <c r="Z341" s="50">
        <v>0.98699967345041473</v>
      </c>
    </row>
    <row r="342" spans="19:26">
      <c r="S342" s="50">
        <v>0.96280478198798813</v>
      </c>
      <c r="T342" s="50">
        <v>0.95085274899721994</v>
      </c>
      <c r="U342" s="50">
        <v>1.0055983460072553</v>
      </c>
      <c r="V342" s="50">
        <v>1.1140073298930935</v>
      </c>
      <c r="W342" s="50">
        <v>0.79349711652631494</v>
      </c>
      <c r="X342" s="50">
        <v>0.79349711652631494</v>
      </c>
      <c r="Y342" s="50">
        <v>0.99492232402417202</v>
      </c>
      <c r="Z342" s="50">
        <v>0.99492232402417202</v>
      </c>
    </row>
    <row r="343" spans="19:26">
      <c r="S343" s="50">
        <v>0.96408265935274362</v>
      </c>
      <c r="T343" s="50">
        <v>0.95252627653523847</v>
      </c>
      <c r="U343" s="50">
        <v>0.91664434041186826</v>
      </c>
      <c r="V343" s="50">
        <v>1.010040296401286</v>
      </c>
      <c r="W343" s="50">
        <v>0.83348687603387028</v>
      </c>
      <c r="X343" s="50">
        <v>0.83348687603387028</v>
      </c>
      <c r="Y343" s="50">
        <v>0.99893170517847718</v>
      </c>
      <c r="Z343" s="50">
        <v>0.99893170517847718</v>
      </c>
    </row>
    <row r="344" spans="19:26">
      <c r="S344" s="50">
        <v>0.95434482328433001</v>
      </c>
      <c r="T344" s="50">
        <v>0.93983990806921214</v>
      </c>
      <c r="U344" s="50">
        <v>0.91991631431458099</v>
      </c>
      <c r="V344" s="50">
        <v>0.89366558191349144</v>
      </c>
      <c r="W344" s="50">
        <v>0.76995400682338766</v>
      </c>
      <c r="X344" s="50">
        <v>0.76995400682338766</v>
      </c>
      <c r="Y344" s="50">
        <v>0.96809840365588962</v>
      </c>
      <c r="Z344" s="50">
        <v>0.96809840365588962</v>
      </c>
    </row>
    <row r="345" spans="19:26">
      <c r="S345" s="50">
        <v>0.9587762423976991</v>
      </c>
      <c r="T345" s="50">
        <v>0.94560802535986332</v>
      </c>
      <c r="U345" s="50">
        <v>0.91470783891543772</v>
      </c>
      <c r="V345" s="50">
        <v>0.94189049061863228</v>
      </c>
      <c r="W345" s="50">
        <v>0.82772824895957087</v>
      </c>
      <c r="X345" s="50">
        <v>0.82772824895957087</v>
      </c>
      <c r="Y345" s="50">
        <v>0.9793333429692993</v>
      </c>
      <c r="Z345" s="50">
        <v>0.9793333429692993</v>
      </c>
    </row>
    <row r="346" spans="19:26">
      <c r="S346" s="50">
        <v>0.9604666238995806</v>
      </c>
      <c r="T346" s="50">
        <v>0.94778351329803934</v>
      </c>
      <c r="U346" s="50">
        <v>0.98527949671923543</v>
      </c>
      <c r="V346" s="50">
        <v>0.98426576966444956</v>
      </c>
      <c r="W346" s="50">
        <v>0.68227307475996879</v>
      </c>
      <c r="X346" s="50">
        <v>0.68227307475996879</v>
      </c>
      <c r="Y346" s="50">
        <v>0.99031430842607471</v>
      </c>
      <c r="Z346" s="50">
        <v>0.99031430842607471</v>
      </c>
    </row>
    <row r="347" spans="19:26">
      <c r="S347" s="50">
        <v>0.96089599482404087</v>
      </c>
      <c r="T347" s="50">
        <v>0.94836475508548523</v>
      </c>
      <c r="U347" s="50">
        <v>0.92978212046323727</v>
      </c>
      <c r="V347" s="50">
        <v>1.0629375137684565</v>
      </c>
      <c r="W347" s="50">
        <v>0.80187540995978179</v>
      </c>
      <c r="X347" s="50">
        <v>0.80187540995978179</v>
      </c>
      <c r="Y347" s="50">
        <v>0.98725800004182218</v>
      </c>
      <c r="Z347" s="50">
        <v>0.98725800004182218</v>
      </c>
    </row>
    <row r="348" spans="19:26">
      <c r="S348" s="50">
        <v>0.9621354071554612</v>
      </c>
      <c r="T348" s="50">
        <v>0.94998139469529064</v>
      </c>
      <c r="U348" s="50">
        <v>0.95943158714144172</v>
      </c>
      <c r="V348" s="50">
        <v>0.90625664914627879</v>
      </c>
      <c r="W348" s="50">
        <v>0.8069453487162489</v>
      </c>
      <c r="X348" s="50">
        <v>0.8069453487162489</v>
      </c>
      <c r="Y348" s="50">
        <v>0.99177046250467638</v>
      </c>
      <c r="Z348" s="50">
        <v>0.99177046250467638</v>
      </c>
    </row>
    <row r="349" spans="19:26">
      <c r="S349" s="50">
        <v>0.96149181376562565</v>
      </c>
      <c r="T349" s="50">
        <v>0.9491354435323629</v>
      </c>
      <c r="U349" s="50">
        <v>1.0670687986090022</v>
      </c>
      <c r="V349" s="50">
        <v>0.89028897398319462</v>
      </c>
      <c r="W349" s="50">
        <v>0.76331523801308199</v>
      </c>
      <c r="X349" s="50">
        <v>0.76331523801308199</v>
      </c>
      <c r="Y349" s="50">
        <v>0.99080320949604639</v>
      </c>
      <c r="Z349" s="50">
        <v>0.99080320949604639</v>
      </c>
    </row>
    <row r="350" spans="19:26">
      <c r="S350" s="50">
        <v>0.96002406286785602</v>
      </c>
      <c r="T350" s="50">
        <v>0.94722622749453345</v>
      </c>
      <c r="U350" s="50">
        <v>0.87791927406291115</v>
      </c>
      <c r="V350" s="50">
        <v>0.87676703498398123</v>
      </c>
      <c r="W350" s="50">
        <v>0.7855594273794676</v>
      </c>
      <c r="X350" s="50">
        <v>0.7855594273794676</v>
      </c>
      <c r="Y350" s="50">
        <v>0.9846657584572952</v>
      </c>
      <c r="Z350" s="50">
        <v>0.9846657584572952</v>
      </c>
    </row>
    <row r="351" spans="19:26">
      <c r="S351" s="50">
        <v>0.9635424288507991</v>
      </c>
      <c r="T351" s="50">
        <v>0.95181699495878747</v>
      </c>
      <c r="U351" s="50">
        <v>1.0068404479713822</v>
      </c>
      <c r="V351" s="50">
        <v>0.95959786394871927</v>
      </c>
      <c r="W351" s="50">
        <v>0.80374181297515246</v>
      </c>
      <c r="X351" s="50">
        <v>0.80374181297515246</v>
      </c>
      <c r="Y351" s="50">
        <v>0.99764750135955382</v>
      </c>
      <c r="Z351" s="50">
        <v>0.99764750135955382</v>
      </c>
    </row>
    <row r="352" spans="19:26">
      <c r="S352" s="50">
        <v>0.96361696262114127</v>
      </c>
      <c r="T352" s="50">
        <v>0.95191591045897528</v>
      </c>
      <c r="U352" s="50">
        <v>0.94243065311872587</v>
      </c>
      <c r="V352" s="50">
        <v>1.0081254707784966</v>
      </c>
      <c r="W352" s="50">
        <v>0.81564835187658069</v>
      </c>
      <c r="X352" s="50">
        <v>0.81564835187658069</v>
      </c>
      <c r="Y352" s="50">
        <v>0.99753792133313035</v>
      </c>
      <c r="Z352" s="50">
        <v>0.99753792133313035</v>
      </c>
    </row>
    <row r="353" spans="19:26">
      <c r="S353" s="50">
        <v>0.9507941945008721</v>
      </c>
      <c r="T353" s="50">
        <v>0.93523769726827521</v>
      </c>
      <c r="U353" s="50">
        <v>0.95095623864274104</v>
      </c>
      <c r="V353" s="50">
        <v>1.1226160307245894</v>
      </c>
      <c r="W353" s="50">
        <v>0.76957269224610247</v>
      </c>
      <c r="X353" s="50">
        <v>0.76957269224610247</v>
      </c>
      <c r="Y353" s="50">
        <v>0.9597277265425106</v>
      </c>
      <c r="Z353" s="50">
        <v>0.9597277265425106</v>
      </c>
    </row>
    <row r="354" spans="19:26">
      <c r="S354" s="50">
        <v>0.95940703310982989</v>
      </c>
      <c r="T354" s="50">
        <v>0.94641718163339195</v>
      </c>
      <c r="U354" s="50">
        <v>1.0262257190608537</v>
      </c>
      <c r="V354" s="50">
        <v>0.82478679584050818</v>
      </c>
      <c r="W354" s="50">
        <v>0.75302225758757924</v>
      </c>
      <c r="X354" s="50">
        <v>0.75302225758757924</v>
      </c>
      <c r="Y354" s="50">
        <v>0.98360003959569908</v>
      </c>
      <c r="Z354" s="50">
        <v>0.98360003959569908</v>
      </c>
    </row>
    <row r="355" spans="19:26">
      <c r="S355" s="50">
        <v>0.95572343041096586</v>
      </c>
      <c r="T355" s="50">
        <v>0.94163064398969676</v>
      </c>
      <c r="U355" s="50">
        <v>1.0182331450638151</v>
      </c>
      <c r="V355" s="50">
        <v>1.0245350621575817</v>
      </c>
      <c r="W355" s="50">
        <v>0.77505795188373039</v>
      </c>
      <c r="X355" s="50">
        <v>0.77505795188373039</v>
      </c>
      <c r="Y355" s="50">
        <v>0.97164196014457604</v>
      </c>
      <c r="Z355" s="50">
        <v>0.97164196014457604</v>
      </c>
    </row>
    <row r="356" spans="19:26">
      <c r="S356" s="50">
        <v>0.9580449433475724</v>
      </c>
      <c r="T356" s="50">
        <v>0.94464473167968488</v>
      </c>
      <c r="U356" s="50">
        <v>0.9266321115146724</v>
      </c>
      <c r="V356" s="50">
        <v>0.77713215983933359</v>
      </c>
      <c r="W356" s="50">
        <v>0.75500583732738935</v>
      </c>
      <c r="X356" s="50">
        <v>0.75500583732738935</v>
      </c>
      <c r="Y356" s="50">
        <v>0.97905768546549188</v>
      </c>
      <c r="Z356" s="50">
        <v>0.97905768546549188</v>
      </c>
    </row>
    <row r="357" spans="19:26">
      <c r="S357" s="50">
        <v>0.96223093821492323</v>
      </c>
      <c r="T357" s="50">
        <v>0.95008320416312564</v>
      </c>
      <c r="U357" s="50">
        <v>0.93490519053118237</v>
      </c>
      <c r="V357" s="50">
        <v>1.006215120320147</v>
      </c>
      <c r="W357" s="50">
        <v>0.67651785719125335</v>
      </c>
      <c r="X357" s="50">
        <v>0.67651785719125335</v>
      </c>
      <c r="Y357" s="50">
        <v>0.99777646457038627</v>
      </c>
      <c r="Z357" s="50">
        <v>0.99777646457038627</v>
      </c>
    </row>
    <row r="358" spans="19:26">
      <c r="S358" s="50">
        <v>0.96258216475254699</v>
      </c>
      <c r="T358" s="50">
        <v>0.95055594001886257</v>
      </c>
      <c r="U358" s="50">
        <v>1.0563228314813133</v>
      </c>
      <c r="V358" s="50">
        <v>0.96381324337027152</v>
      </c>
      <c r="W358" s="50">
        <v>0.75265770086928641</v>
      </c>
      <c r="X358" s="50">
        <v>0.75265770086928641</v>
      </c>
      <c r="Y358" s="50">
        <v>0.9955882953035835</v>
      </c>
      <c r="Z358" s="50">
        <v>0.9955882953035835</v>
      </c>
    </row>
    <row r="359" spans="19:26">
      <c r="S359" s="50">
        <v>0.96326394916644387</v>
      </c>
      <c r="T359" s="50">
        <v>0.95144098391111731</v>
      </c>
      <c r="U359" s="50">
        <v>1.0326096812840493</v>
      </c>
      <c r="V359" s="50">
        <v>1.0768978153943451</v>
      </c>
      <c r="W359" s="50">
        <v>0.72436965891212501</v>
      </c>
      <c r="X359" s="50">
        <v>0.72436965891212501</v>
      </c>
      <c r="Y359" s="50">
        <v>0.99979089156246437</v>
      </c>
      <c r="Z359" s="50">
        <v>0.99979089156246437</v>
      </c>
    </row>
    <row r="360" spans="19:26">
      <c r="S360" s="50">
        <v>0.96118782735760711</v>
      </c>
      <c r="T360" s="50">
        <v>0.94872966022488547</v>
      </c>
      <c r="U360" s="50">
        <v>0.95302519600745195</v>
      </c>
      <c r="V360" s="50">
        <v>1.016050517404961</v>
      </c>
      <c r="W360" s="50">
        <v>0.71087250126322432</v>
      </c>
      <c r="X360" s="50">
        <v>0.71087250126322432</v>
      </c>
      <c r="Y360" s="50">
        <v>0.99176923086715807</v>
      </c>
      <c r="Z360" s="50">
        <v>0.99176923086715807</v>
      </c>
    </row>
    <row r="361" spans="19:26">
      <c r="S361" s="50">
        <v>0.9597563733941703</v>
      </c>
      <c r="T361" s="50">
        <v>0.94688537618738011</v>
      </c>
      <c r="U361" s="50">
        <v>0.8919234442240076</v>
      </c>
      <c r="V361" s="50">
        <v>0.86762072805116752</v>
      </c>
      <c r="W361" s="50">
        <v>0.83840491822828911</v>
      </c>
      <c r="X361" s="50">
        <v>0.83840491822828911</v>
      </c>
      <c r="Y361" s="50">
        <v>0.98225186560314803</v>
      </c>
      <c r="Z361" s="50">
        <v>0.98225186560314803</v>
      </c>
    </row>
    <row r="362" spans="19:26">
      <c r="S362" s="50">
        <v>0.95690020924015529</v>
      </c>
      <c r="T362" s="50">
        <v>0.94315394087701543</v>
      </c>
      <c r="U362" s="50">
        <v>1.0020588532226082</v>
      </c>
      <c r="V362" s="50">
        <v>0.95238742552956068</v>
      </c>
      <c r="W362" s="50">
        <v>0.74383348606497612</v>
      </c>
      <c r="X362" s="50">
        <v>0.74383348606497612</v>
      </c>
      <c r="Y362" s="50">
        <v>0.9758880016543926</v>
      </c>
      <c r="Z362" s="50">
        <v>0.9758880016543926</v>
      </c>
    </row>
    <row r="363" spans="19:26">
      <c r="S363" s="50">
        <v>0.95251764611168732</v>
      </c>
      <c r="T363" s="50">
        <v>0.93745334932001601</v>
      </c>
      <c r="U363" s="50">
        <v>0.92450465519117309</v>
      </c>
      <c r="V363" s="50">
        <v>0.80484957785413425</v>
      </c>
      <c r="W363" s="50">
        <v>0.69366027814824349</v>
      </c>
      <c r="X363" s="50">
        <v>0.69366027814824349</v>
      </c>
      <c r="Y363" s="50">
        <v>0.9655543080896114</v>
      </c>
      <c r="Z363" s="50">
        <v>0.9655543080896114</v>
      </c>
    </row>
    <row r="364" spans="19:26">
      <c r="S364" s="50">
        <v>0.95808915917889281</v>
      </c>
      <c r="T364" s="50">
        <v>0.94470001117000091</v>
      </c>
      <c r="U364" s="50">
        <v>1.0177882920449386</v>
      </c>
      <c r="V364" s="50">
        <v>1.1366880187476025</v>
      </c>
      <c r="W364" s="50">
        <v>0.74293825271320246</v>
      </c>
      <c r="X364" s="50">
        <v>0.74293825271320246</v>
      </c>
      <c r="Y364" s="50">
        <v>0.97958431731779705</v>
      </c>
      <c r="Z364" s="50">
        <v>0.97958431731779705</v>
      </c>
    </row>
    <row r="365" spans="19:26">
      <c r="S365" s="50">
        <v>0.96226169035541442</v>
      </c>
      <c r="T365" s="50">
        <v>0.95013932508856069</v>
      </c>
      <c r="U365" s="50">
        <v>0.92574406821261457</v>
      </c>
      <c r="V365" s="50">
        <v>0.95001379815802178</v>
      </c>
      <c r="W365" s="50">
        <v>0.76195344136107246</v>
      </c>
      <c r="X365" s="50">
        <v>0.76195344136107246</v>
      </c>
      <c r="Y365" s="50">
        <v>0.99389705991339183</v>
      </c>
      <c r="Z365" s="50">
        <v>0.99389705991339183</v>
      </c>
    </row>
    <row r="366" spans="19:26">
      <c r="S366" s="50">
        <v>0.95627547082169895</v>
      </c>
      <c r="T366" s="50">
        <v>0.94235823043125588</v>
      </c>
      <c r="U366" s="50">
        <v>1.1132152498335357</v>
      </c>
      <c r="V366" s="50">
        <v>1.0144687238281034</v>
      </c>
      <c r="W366" s="50">
        <v>0.83963242742131572</v>
      </c>
      <c r="X366" s="50">
        <v>0.83963242742131572</v>
      </c>
      <c r="Y366" s="50">
        <v>0.97166534321052722</v>
      </c>
      <c r="Z366" s="50">
        <v>0.97166534321052722</v>
      </c>
    </row>
    <row r="367" spans="19:26">
      <c r="S367" s="50">
        <v>0.95900890863699939</v>
      </c>
      <c r="T367" s="50">
        <v>0.94589204110872205</v>
      </c>
      <c r="U367" s="50">
        <v>0.93034833821604546</v>
      </c>
      <c r="V367" s="50">
        <v>0.94563980623132338</v>
      </c>
      <c r="W367" s="50">
        <v>0.71737041352524689</v>
      </c>
      <c r="X367" s="50">
        <v>0.71737041352524689</v>
      </c>
      <c r="Y367" s="50">
        <v>0.98352716089658632</v>
      </c>
      <c r="Z367" s="50">
        <v>0.98352716089658632</v>
      </c>
    </row>
    <row r="368" spans="19:26">
      <c r="S368" s="50">
        <v>0.96261619097979778</v>
      </c>
      <c r="T368" s="50">
        <v>0.9506001871685763</v>
      </c>
      <c r="U368" s="50">
        <v>0.97526671753714667</v>
      </c>
      <c r="V368" s="50">
        <v>1.0217145137848818</v>
      </c>
      <c r="W368" s="50">
        <v>0.75172651345183672</v>
      </c>
      <c r="X368" s="50">
        <v>0.75172651345183672</v>
      </c>
      <c r="Y368" s="50">
        <v>0.99576886185116464</v>
      </c>
      <c r="Z368" s="50">
        <v>0.99576886185116464</v>
      </c>
    </row>
    <row r="369" spans="19:26">
      <c r="S369" s="50">
        <v>0.95885999719218917</v>
      </c>
      <c r="T369" s="50">
        <v>0.94569099804306211</v>
      </c>
      <c r="U369" s="50">
        <v>0.93482924862125116</v>
      </c>
      <c r="V369" s="50">
        <v>0.92318549423234686</v>
      </c>
      <c r="W369" s="50">
        <v>0.68403840876783562</v>
      </c>
      <c r="X369" s="50">
        <v>0.68403840876783562</v>
      </c>
      <c r="Y369" s="50">
        <v>0.98437837143815454</v>
      </c>
      <c r="Z369" s="50">
        <v>0.98437837143815454</v>
      </c>
    </row>
    <row r="370" spans="19:26">
      <c r="S370" s="50">
        <v>0.96240606213315483</v>
      </c>
      <c r="T370" s="50">
        <v>0.95034145199927844</v>
      </c>
      <c r="U370" s="50">
        <v>1.0055403778962322</v>
      </c>
      <c r="V370" s="50">
        <v>0.89688660023490974</v>
      </c>
      <c r="W370" s="50">
        <v>0.86093797069135314</v>
      </c>
      <c r="X370" s="50">
        <v>0.86093797069135314</v>
      </c>
      <c r="Y370" s="50">
        <v>0.99117664617892243</v>
      </c>
      <c r="Z370" s="50">
        <v>0.99117664617892243</v>
      </c>
    </row>
    <row r="371" spans="19:26">
      <c r="S371" s="50">
        <v>0.95024175935208977</v>
      </c>
      <c r="T371" s="50">
        <v>0.93451002734364708</v>
      </c>
      <c r="U371" s="50">
        <v>1.0400906124151084</v>
      </c>
      <c r="V371" s="50">
        <v>0.94285848352778567</v>
      </c>
      <c r="W371" s="50">
        <v>0.71320842153202579</v>
      </c>
      <c r="X371" s="50">
        <v>0.71320842153202579</v>
      </c>
      <c r="Y371" s="50">
        <v>0.95978557213869009</v>
      </c>
      <c r="Z371" s="50">
        <v>0.95978557213869009</v>
      </c>
    </row>
    <row r="372" spans="19:26">
      <c r="S372" s="50">
        <v>0.96197830564422215</v>
      </c>
      <c r="T372" s="50">
        <v>0.94977248754984833</v>
      </c>
      <c r="U372" s="50">
        <v>1.0883880735231992</v>
      </c>
      <c r="V372" s="50">
        <v>0.87968232568124849</v>
      </c>
      <c r="W372" s="50">
        <v>0.77979610652902476</v>
      </c>
      <c r="X372" s="50">
        <v>0.77979610652902476</v>
      </c>
      <c r="Y372" s="50">
        <v>0.99209316977917217</v>
      </c>
      <c r="Z372" s="50">
        <v>0.99209316977917217</v>
      </c>
    </row>
    <row r="373" spans="19:26">
      <c r="S373" s="50">
        <v>0.96295490705786213</v>
      </c>
      <c r="T373" s="50">
        <v>0.95104653520525917</v>
      </c>
      <c r="U373" s="50">
        <v>0.93214933068899619</v>
      </c>
      <c r="V373" s="50">
        <v>0.83950903478266148</v>
      </c>
      <c r="W373" s="50">
        <v>0.77905982969686627</v>
      </c>
      <c r="X373" s="50">
        <v>0.77905982969686627</v>
      </c>
      <c r="Y373" s="50">
        <v>0.99608574413536788</v>
      </c>
      <c r="Z373" s="50">
        <v>0.99608574413536788</v>
      </c>
    </row>
    <row r="374" spans="19:26">
      <c r="S374" s="50">
        <v>0.96056107129206181</v>
      </c>
      <c r="T374" s="50">
        <v>0.94791437850546967</v>
      </c>
      <c r="U374" s="50">
        <v>1.000222051804549</v>
      </c>
      <c r="V374" s="50">
        <v>1.0450733337810252</v>
      </c>
      <c r="W374" s="50">
        <v>0.71978426339255142</v>
      </c>
      <c r="X374" s="50">
        <v>0.71978426339255142</v>
      </c>
      <c r="Y374" s="50">
        <v>0.98898288297580694</v>
      </c>
      <c r="Z374" s="50">
        <v>0.98898288297580694</v>
      </c>
    </row>
    <row r="375" spans="19:26">
      <c r="S375" s="50">
        <v>0.96007235657928325</v>
      </c>
      <c r="T375" s="50">
        <v>0.94728516733453094</v>
      </c>
      <c r="U375" s="50">
        <v>0.90184800242976837</v>
      </c>
      <c r="V375" s="50">
        <v>0.94798735789009048</v>
      </c>
      <c r="W375" s="50">
        <v>0.7614342604601454</v>
      </c>
      <c r="X375" s="50">
        <v>0.7614342604601454</v>
      </c>
      <c r="Y375" s="50">
        <v>0.98562717751370743</v>
      </c>
      <c r="Z375" s="50">
        <v>0.98562717751370743</v>
      </c>
    </row>
    <row r="376" spans="19:26">
      <c r="S376" s="50">
        <v>0.95474385391689531</v>
      </c>
      <c r="T376" s="50">
        <v>0.94037427035927157</v>
      </c>
      <c r="U376" s="50">
        <v>1.0069913149250176</v>
      </c>
      <c r="V376" s="50">
        <v>0.95136372539675829</v>
      </c>
      <c r="W376" s="50">
        <v>0.8725132577207122</v>
      </c>
      <c r="X376" s="50">
        <v>0.8725132577207122</v>
      </c>
      <c r="Y376" s="50">
        <v>0.96700142886074425</v>
      </c>
      <c r="Z376" s="50">
        <v>0.96700142886074425</v>
      </c>
    </row>
    <row r="377" spans="19:26">
      <c r="S377" s="50">
        <v>0.95928589587227187</v>
      </c>
      <c r="T377" s="50">
        <v>0.94625581680091464</v>
      </c>
      <c r="U377" s="50">
        <v>0.92442788969875267</v>
      </c>
      <c r="V377" s="50">
        <v>1.0317598596947788</v>
      </c>
      <c r="W377" s="50">
        <v>0.73331860975675112</v>
      </c>
      <c r="X377" s="50">
        <v>0.73331860975675112</v>
      </c>
      <c r="Y377" s="50">
        <v>0.98387992668602287</v>
      </c>
      <c r="Z377" s="50">
        <v>0.98387992668602287</v>
      </c>
    </row>
    <row r="378" spans="19:26">
      <c r="S378" s="50">
        <v>0.96328038358944401</v>
      </c>
      <c r="T378" s="50">
        <v>0.95147487830352984</v>
      </c>
      <c r="U378" s="50">
        <v>1.0991107491477843</v>
      </c>
      <c r="V378" s="50">
        <v>1.1050759003631636</v>
      </c>
      <c r="W378" s="50">
        <v>0.80347391888507147</v>
      </c>
      <c r="X378" s="50">
        <v>0.80347391888507147</v>
      </c>
      <c r="Y378" s="50">
        <v>0.99654249841382891</v>
      </c>
      <c r="Z378" s="50">
        <v>0.99654249841382891</v>
      </c>
    </row>
    <row r="379" spans="19:26">
      <c r="S379" s="50">
        <v>0.96118349617605625</v>
      </c>
      <c r="T379" s="50">
        <v>0.94873843226077526</v>
      </c>
      <c r="U379" s="50">
        <v>0.97745111451258682</v>
      </c>
      <c r="V379" s="50">
        <v>1.0546200889162702</v>
      </c>
      <c r="W379" s="50">
        <v>0.79485072016542901</v>
      </c>
      <c r="X379" s="50">
        <v>0.79485072016542901</v>
      </c>
      <c r="Y379" s="50">
        <v>0.98853841370159068</v>
      </c>
      <c r="Z379" s="50">
        <v>0.98853841370159068</v>
      </c>
    </row>
    <row r="380" spans="19:26">
      <c r="S380" s="50">
        <v>0.96244023252072086</v>
      </c>
      <c r="T380" s="50">
        <v>0.95036962174696982</v>
      </c>
      <c r="U380" s="50">
        <v>0.95295557557624844</v>
      </c>
      <c r="V380" s="50">
        <v>1.0352428485911109</v>
      </c>
      <c r="W380" s="50">
        <v>0.74597440339007326</v>
      </c>
      <c r="X380" s="50">
        <v>0.74597440339007326</v>
      </c>
      <c r="Y380" s="50">
        <v>0.99528001212982087</v>
      </c>
      <c r="Z380" s="50">
        <v>0.99528001212982087</v>
      </c>
    </row>
    <row r="381" spans="19:26">
      <c r="S381" s="50">
        <v>0.96025299194765146</v>
      </c>
      <c r="T381" s="50">
        <v>0.94751756959412292</v>
      </c>
      <c r="U381" s="50">
        <v>1.0112867249934021</v>
      </c>
      <c r="V381" s="50">
        <v>1.0062692636447292</v>
      </c>
      <c r="W381" s="50">
        <v>0.74470868287752878</v>
      </c>
      <c r="X381" s="50">
        <v>0.74470868287752878</v>
      </c>
      <c r="Y381" s="50">
        <v>0.98687001842266864</v>
      </c>
      <c r="Z381" s="50">
        <v>0.98687001842266864</v>
      </c>
    </row>
    <row r="382" spans="19:26">
      <c r="S382" s="50">
        <v>0.92520506720882623</v>
      </c>
      <c r="T382" s="50">
        <v>0.90239973307382515</v>
      </c>
      <c r="U382" s="50">
        <v>0.75340677884915186</v>
      </c>
      <c r="V382" s="50">
        <v>0.98855616348790654</v>
      </c>
      <c r="W382" s="50">
        <v>0.80811774460546548</v>
      </c>
      <c r="X382" s="50">
        <v>0.80811774460546548</v>
      </c>
      <c r="Y382" s="50">
        <v>0.92473646045921565</v>
      </c>
      <c r="Z382" s="50">
        <v>0.92473646045921565</v>
      </c>
    </row>
    <row r="383" spans="19:26">
      <c r="S383" s="50">
        <v>0.95788084147589714</v>
      </c>
      <c r="T383" s="50">
        <v>0.94443744307992694</v>
      </c>
      <c r="U383" s="50">
        <v>1.0348865322965439</v>
      </c>
      <c r="V383" s="50">
        <v>1.0838119823636634</v>
      </c>
      <c r="W383" s="50">
        <v>0.7907309981515338</v>
      </c>
      <c r="X383" s="50">
        <v>0.7907309981515338</v>
      </c>
      <c r="Y383" s="50">
        <v>0.97750571807098574</v>
      </c>
      <c r="Z383" s="50">
        <v>0.97750571807098574</v>
      </c>
    </row>
    <row r="384" spans="19:26">
      <c r="S384" s="50">
        <v>0.95093820753514346</v>
      </c>
      <c r="T384" s="50">
        <v>0.93544394349237625</v>
      </c>
      <c r="U384" s="50">
        <v>1.0603778029836524</v>
      </c>
      <c r="V384" s="50">
        <v>0.96262950227529021</v>
      </c>
      <c r="W384" s="50">
        <v>0.88596778707568558</v>
      </c>
      <c r="X384" s="50">
        <v>0.88596778707568558</v>
      </c>
      <c r="Y384" s="50">
        <v>0.95807310243912047</v>
      </c>
      <c r="Z384" s="50">
        <v>0.95807310243912047</v>
      </c>
    </row>
    <row r="385" spans="19:26">
      <c r="S385" s="50">
        <v>0.95639895736144576</v>
      </c>
      <c r="T385" s="50">
        <v>0.94252684470958858</v>
      </c>
      <c r="U385" s="50">
        <v>0.88586926683432832</v>
      </c>
      <c r="V385" s="50">
        <v>0.94171202491896244</v>
      </c>
      <c r="W385" s="50">
        <v>0.90034289809785495</v>
      </c>
      <c r="X385" s="50">
        <v>0.90034289809785495</v>
      </c>
      <c r="Y385" s="50">
        <v>0.97083341734865247</v>
      </c>
      <c r="Z385" s="50">
        <v>0.97083341734865247</v>
      </c>
    </row>
    <row r="386" spans="19:26">
      <c r="S386" s="50">
        <v>0.96334856573972594</v>
      </c>
      <c r="T386" s="50">
        <v>0.95155793325311611</v>
      </c>
      <c r="U386" s="50">
        <v>0.86702949321219458</v>
      </c>
      <c r="V386" s="50">
        <v>0.96858765315928474</v>
      </c>
      <c r="W386" s="50">
        <v>0.76310362774402818</v>
      </c>
      <c r="X386" s="50">
        <v>0.76310362774402818</v>
      </c>
      <c r="Y386" s="50">
        <v>0.99840772346207929</v>
      </c>
      <c r="Z386" s="50">
        <v>0.99840772346207929</v>
      </c>
    </row>
    <row r="387" spans="19:26">
      <c r="S387" s="50">
        <v>0.953713997731514</v>
      </c>
      <c r="T387" s="50">
        <v>0.93902757442471552</v>
      </c>
      <c r="U387" s="50">
        <v>0.99936098563975817</v>
      </c>
      <c r="V387" s="50">
        <v>0.93355708211009614</v>
      </c>
      <c r="W387" s="50">
        <v>0.80368589770759646</v>
      </c>
      <c r="X387" s="50">
        <v>0.80368589770759646</v>
      </c>
      <c r="Y387" s="50">
        <v>0.96575740705262614</v>
      </c>
      <c r="Z387" s="50">
        <v>0.96575740705262614</v>
      </c>
    </row>
    <row r="388" spans="19:26">
      <c r="S388" s="50">
        <v>0.96017059540259164</v>
      </c>
      <c r="T388" s="50">
        <v>0.94739805448902037</v>
      </c>
      <c r="U388" s="50">
        <v>0.95581159353214951</v>
      </c>
      <c r="V388" s="50">
        <v>0.90890812826539036</v>
      </c>
      <c r="W388" s="50">
        <v>0.6838025901035869</v>
      </c>
      <c r="X388" s="50">
        <v>0.6838025901035869</v>
      </c>
      <c r="Y388" s="50">
        <v>0.98911866046185515</v>
      </c>
      <c r="Z388" s="50">
        <v>0.98911866046185515</v>
      </c>
    </row>
    <row r="389" spans="19:26">
      <c r="S389" s="50">
        <v>0.94907960799866176</v>
      </c>
      <c r="T389" s="50">
        <v>0.93302036809829325</v>
      </c>
      <c r="U389" s="50">
        <v>0.94869383982463118</v>
      </c>
      <c r="V389" s="50">
        <v>0.97828504042734632</v>
      </c>
      <c r="W389" s="50">
        <v>0.77509312639176597</v>
      </c>
      <c r="X389" s="50">
        <v>0.77509312639176597</v>
      </c>
      <c r="Y389" s="50">
        <v>0.95605593971949232</v>
      </c>
      <c r="Z389" s="50">
        <v>0.95605593971949232</v>
      </c>
    </row>
    <row r="390" spans="19:26">
      <c r="S390" s="50">
        <v>0.96027035937218985</v>
      </c>
      <c r="T390" s="50">
        <v>0.94755401550425455</v>
      </c>
      <c r="U390" s="50">
        <v>0.92961094294173408</v>
      </c>
      <c r="V390" s="50">
        <v>0.8717243406641132</v>
      </c>
      <c r="W390" s="50">
        <v>0.8328809662005161</v>
      </c>
      <c r="X390" s="50">
        <v>0.8328809662005161</v>
      </c>
      <c r="Y390" s="50">
        <v>0.98414199543944603</v>
      </c>
      <c r="Z390" s="50">
        <v>0.98414199543944603</v>
      </c>
    </row>
    <row r="391" spans="19:26">
      <c r="S391" s="50">
        <v>0.96299605402038391</v>
      </c>
      <c r="T391" s="50">
        <v>0.95110457803389381</v>
      </c>
      <c r="U391" s="50">
        <v>1.0227360813929887</v>
      </c>
      <c r="V391" s="50">
        <v>0.96992552145165623</v>
      </c>
      <c r="W391" s="50">
        <v>0.80926890583323152</v>
      </c>
      <c r="X391" s="50">
        <v>0.80926890583323152</v>
      </c>
      <c r="Y391" s="50">
        <v>0.99515085571225848</v>
      </c>
      <c r="Z391" s="50">
        <v>0.99515085571225848</v>
      </c>
    </row>
    <row r="392" spans="19:26">
      <c r="S392" s="50">
        <v>0.95163541699009058</v>
      </c>
      <c r="T392" s="50">
        <v>0.93634081494291077</v>
      </c>
      <c r="U392" s="50">
        <v>0.87671638950976927</v>
      </c>
      <c r="V392" s="50">
        <v>0.84418105745429495</v>
      </c>
      <c r="W392" s="50">
        <v>0.84728109944871022</v>
      </c>
      <c r="X392" s="50">
        <v>0.84728109944871022</v>
      </c>
      <c r="Y392" s="50">
        <v>0.96014469824166426</v>
      </c>
      <c r="Z392" s="50">
        <v>0.96014469824166426</v>
      </c>
    </row>
    <row r="393" spans="19:26">
      <c r="S393" s="50">
        <v>0.96197293092188041</v>
      </c>
      <c r="T393" s="50">
        <v>0.94976412520537656</v>
      </c>
      <c r="U393" s="50">
        <v>1.0015765658444176</v>
      </c>
      <c r="V393" s="50">
        <v>1.1143539203867914</v>
      </c>
      <c r="W393" s="50">
        <v>0.77113033203386305</v>
      </c>
      <c r="X393" s="50">
        <v>0.77113033203386305</v>
      </c>
      <c r="Y393" s="50">
        <v>0.99239012368382906</v>
      </c>
      <c r="Z393" s="50">
        <v>0.99239012368382906</v>
      </c>
    </row>
    <row r="394" spans="19:26">
      <c r="S394" s="50">
        <v>0.96311062891477839</v>
      </c>
      <c r="T394" s="50">
        <v>0.95124226553840396</v>
      </c>
      <c r="U394" s="50">
        <v>1.0535656660079842</v>
      </c>
      <c r="V394" s="50">
        <v>1.0249027081829019</v>
      </c>
      <c r="W394" s="50">
        <v>0.73256792679450644</v>
      </c>
      <c r="X394" s="50">
        <v>0.73256792679450644</v>
      </c>
      <c r="Y394" s="50">
        <v>0.99872515515951832</v>
      </c>
      <c r="Z394" s="50">
        <v>0.99872515515951832</v>
      </c>
    </row>
    <row r="395" spans="19:26">
      <c r="S395" s="50">
        <v>0.96213010619823802</v>
      </c>
      <c r="T395" s="50">
        <v>0.94996060755157308</v>
      </c>
      <c r="U395" s="50">
        <v>1.0563757998631012</v>
      </c>
      <c r="V395" s="50">
        <v>0.88607181732484608</v>
      </c>
      <c r="W395" s="50">
        <v>0.72123415950934255</v>
      </c>
      <c r="X395" s="50">
        <v>0.72123415950934255</v>
      </c>
      <c r="Y395" s="50">
        <v>0.99508767413429067</v>
      </c>
      <c r="Z395" s="50">
        <v>0.99508767413429067</v>
      </c>
    </row>
    <row r="396" spans="19:26">
      <c r="S396" s="50">
        <v>0.95275005430328752</v>
      </c>
      <c r="T396" s="50">
        <v>0.9377792519898891</v>
      </c>
      <c r="U396" s="50">
        <v>1.01358406324738</v>
      </c>
      <c r="V396" s="50">
        <v>0.99704588332355193</v>
      </c>
      <c r="W396" s="50">
        <v>0.81249796490429826</v>
      </c>
      <c r="X396" s="50">
        <v>0.81249796490429826</v>
      </c>
      <c r="Y396" s="50">
        <v>0.96327500580250247</v>
      </c>
      <c r="Z396" s="50">
        <v>0.96327500580250247</v>
      </c>
    </row>
    <row r="397" spans="19:26">
      <c r="S397" s="50">
        <v>0.96303756860049716</v>
      </c>
      <c r="T397" s="50">
        <v>0.95115687135484539</v>
      </c>
      <c r="U397" s="50">
        <v>1.099207178404725</v>
      </c>
      <c r="V397" s="50">
        <v>0.94692147147023109</v>
      </c>
      <c r="W397" s="50">
        <v>0.79579075928424581</v>
      </c>
      <c r="X397" s="50">
        <v>0.79579075928424581</v>
      </c>
      <c r="Y397" s="50">
        <v>0.99580307112208188</v>
      </c>
      <c r="Z397" s="50">
        <v>0.99580307112208188</v>
      </c>
    </row>
    <row r="398" spans="19:26">
      <c r="S398" s="50">
        <v>0.96223681960065222</v>
      </c>
      <c r="T398" s="50">
        <v>0.9501002508507348</v>
      </c>
      <c r="U398" s="50">
        <v>0.90867409948055011</v>
      </c>
      <c r="V398" s="50">
        <v>0.86212472477317004</v>
      </c>
      <c r="W398" s="50">
        <v>0.72349166242217944</v>
      </c>
      <c r="X398" s="50">
        <v>0.72349166242217944</v>
      </c>
      <c r="Y398" s="50">
        <v>0.9954259882496993</v>
      </c>
      <c r="Z398" s="50">
        <v>0.9954259882496993</v>
      </c>
    </row>
    <row r="399" spans="19:26">
      <c r="S399" s="50">
        <v>0.96103306902081376</v>
      </c>
      <c r="T399" s="50">
        <v>0.94853762241476092</v>
      </c>
      <c r="U399" s="50">
        <v>0.94842182688679888</v>
      </c>
      <c r="V399" s="50">
        <v>0.89211034749862805</v>
      </c>
      <c r="W399" s="50">
        <v>0.76479756658301679</v>
      </c>
      <c r="X399" s="50">
        <v>0.76479756658301679</v>
      </c>
      <c r="Y399" s="50">
        <v>0.98900622356855195</v>
      </c>
      <c r="Z399" s="50">
        <v>0.98900622356855195</v>
      </c>
    </row>
    <row r="400" spans="19:26">
      <c r="S400" s="50">
        <v>0.96218478660796258</v>
      </c>
      <c r="T400" s="50">
        <v>0.95004303620218566</v>
      </c>
      <c r="U400" s="50">
        <v>0.95025085304332257</v>
      </c>
      <c r="V400" s="50">
        <v>1.023421382795632</v>
      </c>
      <c r="W400" s="50">
        <v>0.78789511496601072</v>
      </c>
      <c r="X400" s="50">
        <v>0.78789511496601072</v>
      </c>
      <c r="Y400" s="50">
        <v>0.99261869701987526</v>
      </c>
      <c r="Z400" s="50">
        <v>0.99261869701987526</v>
      </c>
    </row>
    <row r="401" spans="19:26">
      <c r="S401" s="50">
        <v>0.95734037608601197</v>
      </c>
      <c r="T401" s="50">
        <v>0.94372690728044362</v>
      </c>
      <c r="U401" s="50">
        <v>0.97417416574214244</v>
      </c>
      <c r="V401" s="50">
        <v>0.88946348169909917</v>
      </c>
      <c r="W401" s="50">
        <v>0.74733190190000021</v>
      </c>
      <c r="X401" s="50">
        <v>0.74733190190000021</v>
      </c>
      <c r="Y401" s="50">
        <v>0.9771086115074723</v>
      </c>
      <c r="Z401" s="50">
        <v>0.9771086115074723</v>
      </c>
    </row>
    <row r="402" spans="19:26">
      <c r="S402" s="50">
        <v>0.96259607054075924</v>
      </c>
      <c r="T402" s="50">
        <v>0.95056811787116613</v>
      </c>
      <c r="U402" s="50">
        <v>1.0293710573402655</v>
      </c>
      <c r="V402" s="50">
        <v>1.0435429927209909</v>
      </c>
      <c r="W402" s="50">
        <v>0.71852709910861612</v>
      </c>
      <c r="X402" s="50">
        <v>0.71852709910861612</v>
      </c>
      <c r="Y402" s="50">
        <v>0.99716882346560931</v>
      </c>
      <c r="Z402" s="50">
        <v>0.99716882346560931</v>
      </c>
    </row>
    <row r="403" spans="19:26">
      <c r="S403" s="50">
        <v>0.95635818158369024</v>
      </c>
      <c r="T403" s="50">
        <v>0.94245991427663578</v>
      </c>
      <c r="U403" s="50">
        <v>0.99119548729403961</v>
      </c>
      <c r="V403" s="50">
        <v>0.87146088988233228</v>
      </c>
      <c r="W403" s="50">
        <v>0.80234924665407648</v>
      </c>
      <c r="X403" s="50">
        <v>0.80234924665407648</v>
      </c>
      <c r="Y403" s="50">
        <v>0.97273387856335203</v>
      </c>
      <c r="Z403" s="50">
        <v>0.97273387856335203</v>
      </c>
    </row>
    <row r="404" spans="19:26">
      <c r="S404" s="50">
        <v>0.96223483285277456</v>
      </c>
      <c r="T404" s="50">
        <v>0.95011449688739702</v>
      </c>
      <c r="U404" s="50">
        <v>0.95498390780997233</v>
      </c>
      <c r="V404" s="50">
        <v>1.1329197288667101</v>
      </c>
      <c r="W404" s="50">
        <v>0.83211117884913399</v>
      </c>
      <c r="X404" s="50">
        <v>0.83211117884913399</v>
      </c>
      <c r="Y404" s="50">
        <v>0.99135745179483137</v>
      </c>
      <c r="Z404" s="50">
        <v>0.99135745179483137</v>
      </c>
    </row>
    <row r="405" spans="19:26">
      <c r="S405" s="50">
        <v>0.9620697361115409</v>
      </c>
      <c r="T405" s="50">
        <v>0.94989314068071462</v>
      </c>
      <c r="U405" s="50">
        <v>0.97658639185775631</v>
      </c>
      <c r="V405" s="50">
        <v>0.99967469409798204</v>
      </c>
      <c r="W405" s="50">
        <v>0.78904386641465818</v>
      </c>
      <c r="X405" s="50">
        <v>0.78904386641465818</v>
      </c>
      <c r="Y405" s="50">
        <v>0.99212343130511405</v>
      </c>
      <c r="Z405" s="50">
        <v>0.99212343130511405</v>
      </c>
    </row>
    <row r="406" spans="19:26">
      <c r="S406" s="50">
        <v>0.96107122154553459</v>
      </c>
      <c r="T406" s="50">
        <v>0.94860055383833108</v>
      </c>
      <c r="U406" s="50">
        <v>1.0186162388903843</v>
      </c>
      <c r="V406" s="50">
        <v>0.85379579197742739</v>
      </c>
      <c r="W406" s="50">
        <v>0.8564564645565399</v>
      </c>
      <c r="X406" s="50">
        <v>0.8564564645565399</v>
      </c>
      <c r="Y406" s="50">
        <v>0.9863278559540658</v>
      </c>
      <c r="Z406" s="50">
        <v>0.9863278559540658</v>
      </c>
    </row>
    <row r="407" spans="19:26">
      <c r="S407" s="50">
        <v>0.9526939807317274</v>
      </c>
      <c r="T407" s="50">
        <v>0.93766358783240022</v>
      </c>
      <c r="U407" s="50">
        <v>0.83199321448481822</v>
      </c>
      <c r="V407" s="50">
        <v>0.8826107622631999</v>
      </c>
      <c r="W407" s="50">
        <v>0.62892476981843393</v>
      </c>
      <c r="X407" s="50">
        <v>0.62892476981843393</v>
      </c>
      <c r="Y407" s="50">
        <v>0.96822194351401392</v>
      </c>
      <c r="Z407" s="50">
        <v>0.96822194351401392</v>
      </c>
    </row>
    <row r="408" spans="19:26">
      <c r="S408" s="50">
        <v>0.96114106894859697</v>
      </c>
      <c r="T408" s="50">
        <v>0.94867643401975432</v>
      </c>
      <c r="U408" s="50">
        <v>1.0014697700322615</v>
      </c>
      <c r="V408" s="50">
        <v>1.007844636615723</v>
      </c>
      <c r="W408" s="50">
        <v>0.75305105658771576</v>
      </c>
      <c r="X408" s="50">
        <v>0.75305105658771576</v>
      </c>
      <c r="Y408" s="50">
        <v>0.98984716998116162</v>
      </c>
      <c r="Z408" s="50">
        <v>0.98984716998116162</v>
      </c>
    </row>
    <row r="409" spans="19:26">
      <c r="S409" s="50">
        <v>0.9628771269528964</v>
      </c>
      <c r="T409" s="50">
        <v>0.95094700258721532</v>
      </c>
      <c r="U409" s="50">
        <v>0.88378719954394425</v>
      </c>
      <c r="V409" s="50">
        <v>0.87554361218459553</v>
      </c>
      <c r="W409" s="50">
        <v>0.79243332049919923</v>
      </c>
      <c r="X409" s="50">
        <v>0.79243332049919923</v>
      </c>
      <c r="Y409" s="50">
        <v>0.99525946853441716</v>
      </c>
      <c r="Z409" s="50">
        <v>0.99525946853441716</v>
      </c>
    </row>
    <row r="410" spans="19:26">
      <c r="S410" s="50">
        <v>0.93976940449716784</v>
      </c>
      <c r="T410" s="50">
        <v>0.92102749018209518</v>
      </c>
      <c r="U410" s="50">
        <v>0.91634683145518225</v>
      </c>
      <c r="V410" s="50">
        <v>1.1180041263749159</v>
      </c>
      <c r="W410" s="50">
        <v>0.81628716495451714</v>
      </c>
      <c r="X410" s="50">
        <v>0.81628716495451714</v>
      </c>
      <c r="Y410" s="50">
        <v>0.94018801687179954</v>
      </c>
      <c r="Z410" s="50">
        <v>0.94018801687179954</v>
      </c>
    </row>
    <row r="411" spans="19:26">
      <c r="S411" s="50">
        <v>0.96126201492252039</v>
      </c>
      <c r="T411" s="50">
        <v>0.94883230944341745</v>
      </c>
      <c r="U411" s="50">
        <v>0.98693935490785445</v>
      </c>
      <c r="V411" s="50">
        <v>0.93053310990454918</v>
      </c>
      <c r="W411" s="50">
        <v>0.7426661728339059</v>
      </c>
      <c r="X411" s="50">
        <v>0.7426661728339059</v>
      </c>
      <c r="Y411" s="50">
        <v>0.9907125756828814</v>
      </c>
      <c r="Z411" s="50">
        <v>0.9907125756828814</v>
      </c>
    </row>
    <row r="412" spans="19:26">
      <c r="S412" s="50">
        <v>0.95963628242849597</v>
      </c>
      <c r="T412" s="50">
        <v>0.94671028018118997</v>
      </c>
      <c r="U412" s="50">
        <v>0.93185412971626524</v>
      </c>
      <c r="V412" s="50">
        <v>1.0193935356296451</v>
      </c>
      <c r="W412" s="50">
        <v>0.72378473051948067</v>
      </c>
      <c r="X412" s="50">
        <v>0.72378473051948067</v>
      </c>
      <c r="Y412" s="50">
        <v>0.98545941116516489</v>
      </c>
      <c r="Z412" s="50">
        <v>0.98545941116516489</v>
      </c>
    </row>
    <row r="413" spans="19:26">
      <c r="S413" s="50">
        <v>0.95833218127207231</v>
      </c>
      <c r="T413" s="50">
        <v>0.94502303655223163</v>
      </c>
      <c r="U413" s="50">
        <v>0.87461694708820559</v>
      </c>
      <c r="V413" s="50">
        <v>0.94932934488176213</v>
      </c>
      <c r="W413" s="50">
        <v>0.78139638894801289</v>
      </c>
      <c r="X413" s="50">
        <v>0.78139638894801289</v>
      </c>
      <c r="Y413" s="50">
        <v>0.97917420670982003</v>
      </c>
      <c r="Z413" s="50">
        <v>0.97917420670982003</v>
      </c>
    </row>
    <row r="414" spans="19:26">
      <c r="S414" s="50">
        <v>0.94634629213989863</v>
      </c>
      <c r="T414" s="50">
        <v>0.92949133448178978</v>
      </c>
      <c r="U414" s="50">
        <v>0.98775091226672707</v>
      </c>
      <c r="V414" s="50">
        <v>0.8534715746011311</v>
      </c>
      <c r="W414" s="50">
        <v>0.78584777346816215</v>
      </c>
      <c r="X414" s="50">
        <v>0.78584777346816215</v>
      </c>
      <c r="Y414" s="50">
        <v>0.95073996907657299</v>
      </c>
      <c r="Z414" s="50">
        <v>0.95073996907657299</v>
      </c>
    </row>
    <row r="415" spans="19:26">
      <c r="S415" s="50">
        <v>0.95978581224434323</v>
      </c>
      <c r="T415" s="50">
        <v>0.94691782194598362</v>
      </c>
      <c r="U415" s="50">
        <v>1.1174511390353481</v>
      </c>
      <c r="V415" s="50">
        <v>0.96851203361465166</v>
      </c>
      <c r="W415" s="50">
        <v>0.79771068860040351</v>
      </c>
      <c r="X415" s="50">
        <v>0.79771068860040351</v>
      </c>
      <c r="Y415" s="50">
        <v>0.98347443089684461</v>
      </c>
      <c r="Z415" s="50">
        <v>0.98347443089684461</v>
      </c>
    </row>
    <row r="416" spans="19:26">
      <c r="S416" s="50">
        <v>0.96386121139870573</v>
      </c>
      <c r="T416" s="50">
        <v>0.95223719667371221</v>
      </c>
      <c r="U416" s="50">
        <v>0.98446293327194678</v>
      </c>
      <c r="V416" s="50">
        <v>1.0693017694711642</v>
      </c>
      <c r="W416" s="50">
        <v>0.83419832167107399</v>
      </c>
      <c r="X416" s="50">
        <v>0.83419832167107399</v>
      </c>
      <c r="Y416" s="50">
        <v>0.99794614687255978</v>
      </c>
      <c r="Z416" s="50">
        <v>0.99794614687255978</v>
      </c>
    </row>
    <row r="417" spans="19:26">
      <c r="S417" s="50">
        <v>0.95913861224530872</v>
      </c>
      <c r="T417" s="50">
        <v>0.9460737182460236</v>
      </c>
      <c r="U417" s="50">
        <v>0.97236376150135306</v>
      </c>
      <c r="V417" s="50">
        <v>0.91372520037747829</v>
      </c>
      <c r="W417" s="50">
        <v>0.7885733395910397</v>
      </c>
      <c r="X417" s="50">
        <v>0.7885733395910397</v>
      </c>
      <c r="Y417" s="50">
        <v>0.98157209106233689</v>
      </c>
      <c r="Z417" s="50">
        <v>0.98157209106233689</v>
      </c>
    </row>
    <row r="418" spans="19:26">
      <c r="S418" s="50">
        <v>0.9549608476824295</v>
      </c>
      <c r="T418" s="50">
        <v>0.94064023794581497</v>
      </c>
      <c r="U418" s="50">
        <v>1.0584757525294004</v>
      </c>
      <c r="V418" s="50">
        <v>0.92006939523782183</v>
      </c>
      <c r="W418" s="50">
        <v>0.77409522953138787</v>
      </c>
      <c r="X418" s="50">
        <v>0.77409522953138787</v>
      </c>
      <c r="Y418" s="50">
        <v>0.96960567563882383</v>
      </c>
      <c r="Z418" s="50">
        <v>0.96960567563882383</v>
      </c>
    </row>
    <row r="419" spans="19:26">
      <c r="S419" s="50">
        <v>0.96013700247661915</v>
      </c>
      <c r="T419" s="50">
        <v>0.94736755276578677</v>
      </c>
      <c r="U419" s="50">
        <v>0.96061296273214403</v>
      </c>
      <c r="V419" s="50">
        <v>0.9470439703491117</v>
      </c>
      <c r="W419" s="50">
        <v>0.75088449504281396</v>
      </c>
      <c r="X419" s="50">
        <v>0.75088449504281396</v>
      </c>
      <c r="Y419" s="50">
        <v>0.98622776606416707</v>
      </c>
      <c r="Z419" s="50">
        <v>0.98622776606416707</v>
      </c>
    </row>
    <row r="420" spans="19:26">
      <c r="S420" s="50">
        <v>0.95983029726165903</v>
      </c>
      <c r="T420" s="50">
        <v>0.94697330627990817</v>
      </c>
      <c r="U420" s="50">
        <v>0.97817111141351121</v>
      </c>
      <c r="V420" s="50">
        <v>0.95502133132947697</v>
      </c>
      <c r="W420" s="50">
        <v>0.78212211406150201</v>
      </c>
      <c r="X420" s="50">
        <v>0.78212211406150201</v>
      </c>
      <c r="Y420" s="50">
        <v>0.98410211000976522</v>
      </c>
      <c r="Z420" s="50">
        <v>0.98410211000976522</v>
      </c>
    </row>
    <row r="421" spans="19:26">
      <c r="S421" s="50">
        <v>0.96164559469657374</v>
      </c>
      <c r="T421" s="50">
        <v>0.94934329258700856</v>
      </c>
      <c r="U421" s="50">
        <v>1.0634273085342278</v>
      </c>
      <c r="V421" s="50">
        <v>1.0966298264035552</v>
      </c>
      <c r="W421" s="50">
        <v>0.81156310475451532</v>
      </c>
      <c r="X421" s="50">
        <v>0.81156310475451532</v>
      </c>
      <c r="Y421" s="50">
        <v>0.98973546083006747</v>
      </c>
      <c r="Z421" s="50">
        <v>0.98973546083006747</v>
      </c>
    </row>
    <row r="422" spans="19:26">
      <c r="S422" s="50">
        <v>0.96198358804362816</v>
      </c>
      <c r="T422" s="50">
        <v>0.94978903072310961</v>
      </c>
      <c r="U422" s="50">
        <v>1.0429721892939803</v>
      </c>
      <c r="V422" s="50">
        <v>0.86126403191508039</v>
      </c>
      <c r="W422" s="50">
        <v>0.84926764441303015</v>
      </c>
      <c r="X422" s="50">
        <v>0.84926764441303015</v>
      </c>
      <c r="Y422" s="50">
        <v>0.98988662341083011</v>
      </c>
      <c r="Z422" s="50">
        <v>0.98988662341083011</v>
      </c>
    </row>
    <row r="423" spans="19:26">
      <c r="S423" s="50">
        <v>0.96229527970888551</v>
      </c>
      <c r="T423" s="50">
        <v>0.9501936742046535</v>
      </c>
      <c r="U423" s="50">
        <v>0.89094849379724694</v>
      </c>
      <c r="V423" s="50">
        <v>0.85438306979126111</v>
      </c>
      <c r="W423" s="50">
        <v>0.83468273919217939</v>
      </c>
      <c r="X423" s="50">
        <v>0.83468273919217939</v>
      </c>
      <c r="Y423" s="50">
        <v>0.99151425462097031</v>
      </c>
      <c r="Z423" s="50">
        <v>0.99151425462097031</v>
      </c>
    </row>
    <row r="424" spans="19:26">
      <c r="S424" s="50">
        <v>0.96089209086898442</v>
      </c>
      <c r="T424" s="50">
        <v>0.94836420755530204</v>
      </c>
      <c r="U424" s="50">
        <v>1.0269336051676763</v>
      </c>
      <c r="V424" s="50">
        <v>0.8847637285865908</v>
      </c>
      <c r="W424" s="50">
        <v>0.83408636943229286</v>
      </c>
      <c r="X424" s="50">
        <v>0.83408636943229286</v>
      </c>
      <c r="Y424" s="50">
        <v>0.98629290591011365</v>
      </c>
      <c r="Z424" s="50">
        <v>0.98629290591011365</v>
      </c>
    </row>
    <row r="425" spans="19:26">
      <c r="S425" s="50">
        <v>0.96245480184976706</v>
      </c>
      <c r="T425" s="50">
        <v>0.95039664076944141</v>
      </c>
      <c r="U425" s="50">
        <v>0.89033746813324011</v>
      </c>
      <c r="V425" s="50">
        <v>0.82081558734452942</v>
      </c>
      <c r="W425" s="50">
        <v>0.79720569765502902</v>
      </c>
      <c r="X425" s="50">
        <v>0.79720569765502902</v>
      </c>
      <c r="Y425" s="50">
        <v>0.99336795374612752</v>
      </c>
      <c r="Z425" s="50">
        <v>0.99336795374612752</v>
      </c>
    </row>
    <row r="426" spans="19:26">
      <c r="S426" s="50">
        <v>0.95898990201595158</v>
      </c>
      <c r="T426" s="50">
        <v>0.94588182178077462</v>
      </c>
      <c r="U426" s="50">
        <v>1.0140449589681957</v>
      </c>
      <c r="V426" s="50">
        <v>1.118279615566413</v>
      </c>
      <c r="W426" s="50">
        <v>0.79918509807098614</v>
      </c>
      <c r="X426" s="50">
        <v>0.79918509807098614</v>
      </c>
      <c r="Y426" s="50">
        <v>0.98077936870179538</v>
      </c>
      <c r="Z426" s="50">
        <v>0.98077936870179538</v>
      </c>
    </row>
    <row r="427" spans="19:26">
      <c r="S427" s="50">
        <v>0.95318586289691165</v>
      </c>
      <c r="T427" s="50">
        <v>0.93834035389367709</v>
      </c>
      <c r="U427" s="50">
        <v>1.0450339440079204</v>
      </c>
      <c r="V427" s="50">
        <v>1.0352169337463053</v>
      </c>
      <c r="W427" s="50">
        <v>0.79045342146950093</v>
      </c>
      <c r="X427" s="50">
        <v>0.79045342146950093</v>
      </c>
      <c r="Y427" s="50">
        <v>0.96475203347561966</v>
      </c>
      <c r="Z427" s="50">
        <v>0.96475203347561966</v>
      </c>
    </row>
    <row r="428" spans="19:26">
      <c r="S428" s="50">
        <v>0.96436831806969525</v>
      </c>
      <c r="T428" s="50">
        <v>0.95290463275173709</v>
      </c>
      <c r="U428" s="50">
        <v>0.93230664761075366</v>
      </c>
      <c r="V428" s="50">
        <v>0.96815648502513185</v>
      </c>
      <c r="W428" s="50">
        <v>0.87901949160701576</v>
      </c>
      <c r="X428" s="50">
        <v>0.87901949160701576</v>
      </c>
      <c r="Y428" s="50">
        <v>0.99871307027616796</v>
      </c>
      <c r="Z428" s="50">
        <v>0.99871307027616796</v>
      </c>
    </row>
    <row r="429" spans="19:26">
      <c r="S429" s="50">
        <v>0.96036575573763094</v>
      </c>
      <c r="T429" s="50">
        <v>0.9476704373605036</v>
      </c>
      <c r="U429" s="50">
        <v>0.81848014861612584</v>
      </c>
      <c r="V429" s="50">
        <v>0.88155912085993038</v>
      </c>
      <c r="W429" s="50">
        <v>0.77982490049437614</v>
      </c>
      <c r="X429" s="50">
        <v>0.77982490049437614</v>
      </c>
      <c r="Y429" s="50">
        <v>0.98605309596200375</v>
      </c>
      <c r="Z429" s="50">
        <v>0.98605309596200375</v>
      </c>
    </row>
    <row r="430" spans="19:26">
      <c r="S430" s="50">
        <v>0.96313845623508576</v>
      </c>
      <c r="T430" s="50">
        <v>0.95127703578623679</v>
      </c>
      <c r="U430" s="50">
        <v>0.92707959507942606</v>
      </c>
      <c r="V430" s="50">
        <v>1.0171979477246886</v>
      </c>
      <c r="W430" s="50">
        <v>0.72375572359556584</v>
      </c>
      <c r="X430" s="50">
        <v>0.72375572359556584</v>
      </c>
      <c r="Y430" s="50">
        <v>0.99926631266453492</v>
      </c>
      <c r="Z430" s="50">
        <v>0.99926631266453492</v>
      </c>
    </row>
    <row r="431" spans="19:26">
      <c r="S431" s="50">
        <v>0.96231168403708578</v>
      </c>
      <c r="T431" s="50">
        <v>0.95020379699289159</v>
      </c>
      <c r="U431" s="50">
        <v>0.88380238967573754</v>
      </c>
      <c r="V431" s="50">
        <v>0.91887235242094156</v>
      </c>
      <c r="W431" s="50">
        <v>0.75734422772923604</v>
      </c>
      <c r="X431" s="50">
        <v>0.75734422772923604</v>
      </c>
      <c r="Y431" s="50">
        <v>0.99428333608326436</v>
      </c>
      <c r="Z431" s="50">
        <v>0.99428333608326436</v>
      </c>
    </row>
    <row r="432" spans="19:26">
      <c r="S432" s="50">
        <v>0.95666067817114098</v>
      </c>
      <c r="T432" s="50">
        <v>0.94284267786793796</v>
      </c>
      <c r="U432" s="50">
        <v>1.0921270191799253</v>
      </c>
      <c r="V432" s="50">
        <v>1.0549309009739793</v>
      </c>
      <c r="W432" s="50">
        <v>0.74435150650704285</v>
      </c>
      <c r="X432" s="50">
        <v>0.74435150650704285</v>
      </c>
      <c r="Y432" s="50">
        <v>0.97516230054638298</v>
      </c>
      <c r="Z432" s="50">
        <v>0.97516230054638298</v>
      </c>
    </row>
    <row r="433" spans="19:26">
      <c r="S433" s="50">
        <v>0.96230971370154916</v>
      </c>
      <c r="T433" s="50">
        <v>0.95020549603904869</v>
      </c>
      <c r="U433" s="50">
        <v>0.91661293367877694</v>
      </c>
      <c r="V433" s="50">
        <v>1.031150018699591</v>
      </c>
      <c r="W433" s="50">
        <v>0.78453372894348705</v>
      </c>
      <c r="X433" s="50">
        <v>0.78453372894348705</v>
      </c>
      <c r="Y433" s="50">
        <v>0.9932375038457617</v>
      </c>
      <c r="Z433" s="50">
        <v>0.9932375038457617</v>
      </c>
    </row>
    <row r="434" spans="19:26">
      <c r="S434" s="50">
        <v>0.95660896053103928</v>
      </c>
      <c r="T434" s="50">
        <v>0.94278600864548379</v>
      </c>
      <c r="U434" s="50">
        <v>0.967923369921315</v>
      </c>
      <c r="V434" s="50">
        <v>1.0442937962538286</v>
      </c>
      <c r="W434" s="50">
        <v>0.80376546989972442</v>
      </c>
      <c r="X434" s="50">
        <v>0.80376546989972442</v>
      </c>
      <c r="Y434" s="50">
        <v>0.9734095318710092</v>
      </c>
      <c r="Z434" s="50">
        <v>0.9734095318710092</v>
      </c>
    </row>
    <row r="435" spans="19:26">
      <c r="S435" s="50">
        <v>0.96174370222669481</v>
      </c>
      <c r="T435" s="50">
        <v>0.94945940535562634</v>
      </c>
      <c r="U435" s="50">
        <v>0.9127399957658765</v>
      </c>
      <c r="V435" s="50">
        <v>0.98488610705562074</v>
      </c>
      <c r="W435" s="50">
        <v>0.73685625484466144</v>
      </c>
      <c r="X435" s="50">
        <v>0.73685625484466144</v>
      </c>
      <c r="Y435" s="50">
        <v>0.99283610864778582</v>
      </c>
      <c r="Z435" s="50">
        <v>0.99283610864778582</v>
      </c>
    </row>
    <row r="436" spans="19:26">
      <c r="S436" s="50">
        <v>0.9627190954356758</v>
      </c>
      <c r="T436" s="50">
        <v>0.95073183987578813</v>
      </c>
      <c r="U436" s="50">
        <v>0.91921122418221657</v>
      </c>
      <c r="V436" s="50">
        <v>0.84992104559376003</v>
      </c>
      <c r="W436" s="50">
        <v>0.73617791944638933</v>
      </c>
      <c r="X436" s="50">
        <v>0.73617791944638933</v>
      </c>
      <c r="Y436" s="50">
        <v>0.99687525073688121</v>
      </c>
      <c r="Z436" s="50">
        <v>0.99687525073688121</v>
      </c>
    </row>
    <row r="437" spans="19:26">
      <c r="S437" s="50">
        <v>0.95549596771871637</v>
      </c>
      <c r="T437" s="50">
        <v>0.94134307525518846</v>
      </c>
      <c r="U437" s="50">
        <v>0.84084584696662601</v>
      </c>
      <c r="V437" s="50">
        <v>0.97556099413337438</v>
      </c>
      <c r="W437" s="50">
        <v>0.82161523036315609</v>
      </c>
      <c r="X437" s="50">
        <v>0.82161523036315609</v>
      </c>
      <c r="Y437" s="50">
        <v>0.96993625135105932</v>
      </c>
      <c r="Z437" s="50">
        <v>0.96993625135105932</v>
      </c>
    </row>
    <row r="438" spans="19:26">
      <c r="S438" s="50">
        <v>0.9632177777136931</v>
      </c>
      <c r="T438" s="50">
        <v>0.95140085225640669</v>
      </c>
      <c r="U438" s="50">
        <v>0.9387185873932119</v>
      </c>
      <c r="V438" s="50">
        <v>1.1086350050957841</v>
      </c>
      <c r="W438" s="50">
        <v>0.86387231396714514</v>
      </c>
      <c r="X438" s="50">
        <v>0.86387231396714514</v>
      </c>
      <c r="Y438" s="50">
        <v>0.99431684473185156</v>
      </c>
      <c r="Z438" s="50">
        <v>0.99431684473185156</v>
      </c>
    </row>
    <row r="439" spans="19:26">
      <c r="S439" s="50">
        <v>0.95850135388144264</v>
      </c>
      <c r="T439" s="50">
        <v>0.94523453227639687</v>
      </c>
      <c r="U439" s="50">
        <v>0.91084692613322427</v>
      </c>
      <c r="V439" s="50">
        <v>0.97739593432085692</v>
      </c>
      <c r="W439" s="50">
        <v>0.73335342805120352</v>
      </c>
      <c r="X439" s="50">
        <v>0.73335342805120352</v>
      </c>
      <c r="Y439" s="50">
        <v>0.98124257319591468</v>
      </c>
      <c r="Z439" s="50">
        <v>0.98124257319591468</v>
      </c>
    </row>
    <row r="440" spans="19:26">
      <c r="S440" s="50">
        <v>0.96236851255359046</v>
      </c>
      <c r="T440" s="50">
        <v>0.95029193399170664</v>
      </c>
      <c r="U440" s="50">
        <v>0.88442050766867708</v>
      </c>
      <c r="V440" s="50">
        <v>0.98427428398096517</v>
      </c>
      <c r="W440" s="50">
        <v>0.85647316016802721</v>
      </c>
      <c r="X440" s="50">
        <v>0.85647316016802721</v>
      </c>
      <c r="Y440" s="50">
        <v>0.99115749315307955</v>
      </c>
      <c r="Z440" s="50">
        <v>0.99115749315307955</v>
      </c>
    </row>
    <row r="441" spans="19:26">
      <c r="S441" s="50">
        <v>0.95627140989856874</v>
      </c>
      <c r="T441" s="50">
        <v>0.94234018901472993</v>
      </c>
      <c r="U441" s="50">
        <v>1.1203959347003221</v>
      </c>
      <c r="V441" s="50">
        <v>1.1267833239655114</v>
      </c>
      <c r="W441" s="50">
        <v>0.76223298895322733</v>
      </c>
      <c r="X441" s="50">
        <v>0.76223298895322733</v>
      </c>
      <c r="Y441" s="50">
        <v>0.97351889452254159</v>
      </c>
      <c r="Z441" s="50">
        <v>0.97351889452254159</v>
      </c>
    </row>
    <row r="442" spans="19:26">
      <c r="S442" s="50">
        <v>0.9631715727297756</v>
      </c>
      <c r="T442" s="50">
        <v>0.95132635782954122</v>
      </c>
      <c r="U442" s="50">
        <v>0.93350154094803783</v>
      </c>
      <c r="V442" s="50">
        <v>0.87472239161424814</v>
      </c>
      <c r="W442" s="50">
        <v>0.75981072165199948</v>
      </c>
      <c r="X442" s="50">
        <v>0.75981072165199948</v>
      </c>
      <c r="Y442" s="50">
        <v>0.9977814624491792</v>
      </c>
      <c r="Z442" s="50">
        <v>0.9977814624491792</v>
      </c>
    </row>
    <row r="443" spans="19:26">
      <c r="S443" s="50">
        <v>0.96323639504016023</v>
      </c>
      <c r="T443" s="50">
        <v>0.9514144440176332</v>
      </c>
      <c r="U443" s="50">
        <v>0.94416526232202569</v>
      </c>
      <c r="V443" s="50">
        <v>1.0406832914483803</v>
      </c>
      <c r="W443" s="50">
        <v>0.78242358769080733</v>
      </c>
      <c r="X443" s="50">
        <v>0.78242358769080733</v>
      </c>
      <c r="Y443" s="50">
        <v>0.99714440546123262</v>
      </c>
      <c r="Z443" s="50">
        <v>0.99714440546123262</v>
      </c>
    </row>
    <row r="444" spans="19:26">
      <c r="S444" s="50">
        <v>0.96101836487080239</v>
      </c>
      <c r="T444" s="50">
        <v>0.94852944633282377</v>
      </c>
      <c r="U444" s="50">
        <v>0.98861859365420435</v>
      </c>
      <c r="V444" s="50">
        <v>0.91963091093693738</v>
      </c>
      <c r="W444" s="50">
        <v>0.83920168386939809</v>
      </c>
      <c r="X444" s="50">
        <v>0.83920168386939809</v>
      </c>
      <c r="Y444" s="50">
        <v>0.98660350130114338</v>
      </c>
      <c r="Z444" s="50">
        <v>0.98660350130114338</v>
      </c>
    </row>
    <row r="445" spans="19:26">
      <c r="S445" s="50">
        <v>0.95814538032517638</v>
      </c>
      <c r="T445" s="50">
        <v>0.94479233439689358</v>
      </c>
      <c r="U445" s="50">
        <v>1.0767486723004369</v>
      </c>
      <c r="V445" s="50">
        <v>0.89001510766505265</v>
      </c>
      <c r="W445" s="50">
        <v>0.86442798086783856</v>
      </c>
      <c r="X445" s="50">
        <v>0.86442798086783856</v>
      </c>
      <c r="Y445" s="50">
        <v>0.97652626098133533</v>
      </c>
      <c r="Z445" s="50">
        <v>0.97652626098133533</v>
      </c>
    </row>
    <row r="446" spans="19:26">
      <c r="S446" s="50">
        <v>0.95473952995386657</v>
      </c>
      <c r="T446" s="50">
        <v>0.9403283220518398</v>
      </c>
      <c r="U446" s="50">
        <v>0.9698481927209508</v>
      </c>
      <c r="V446" s="50">
        <v>0.85696418788843509</v>
      </c>
      <c r="W446" s="50">
        <v>0.66354115442249451</v>
      </c>
      <c r="X446" s="50">
        <v>0.66354115442249451</v>
      </c>
      <c r="Y446" s="50">
        <v>0.97237578399398006</v>
      </c>
      <c r="Z446" s="50">
        <v>0.97237578399398006</v>
      </c>
    </row>
    <row r="447" spans="19:26">
      <c r="S447" s="50">
        <v>0.95024592237630112</v>
      </c>
      <c r="T447" s="50">
        <v>0.93453377184368824</v>
      </c>
      <c r="U447" s="50">
        <v>0.88657143440754294</v>
      </c>
      <c r="V447" s="50">
        <v>0.85524136498747716</v>
      </c>
      <c r="W447" s="50">
        <v>0.79908060870574416</v>
      </c>
      <c r="X447" s="50">
        <v>0.79908060870574416</v>
      </c>
      <c r="Y447" s="50">
        <v>0.958001668882972</v>
      </c>
      <c r="Z447" s="50">
        <v>0.958001668882972</v>
      </c>
    </row>
    <row r="448" spans="19:26">
      <c r="S448" s="50">
        <v>0.95160663536194634</v>
      </c>
      <c r="T448" s="50">
        <v>0.93629438143203825</v>
      </c>
      <c r="U448" s="50">
        <v>0.95257296467192387</v>
      </c>
      <c r="V448" s="50">
        <v>0.78705331432998393</v>
      </c>
      <c r="W448" s="50">
        <v>0.79359509669097905</v>
      </c>
      <c r="X448" s="50">
        <v>0.79359509669097905</v>
      </c>
      <c r="Y448" s="50">
        <v>0.96103474076890527</v>
      </c>
      <c r="Z448" s="50">
        <v>0.96103474076890527</v>
      </c>
    </row>
    <row r="449" spans="19:26">
      <c r="S449" s="50">
        <v>0.96318634563107675</v>
      </c>
      <c r="T449" s="50">
        <v>0.95134364791264003</v>
      </c>
      <c r="U449" s="50">
        <v>0.97592408152756183</v>
      </c>
      <c r="V449" s="50">
        <v>0.92284222374241209</v>
      </c>
      <c r="W449" s="50">
        <v>0.74751892904494877</v>
      </c>
      <c r="X449" s="50">
        <v>0.74751892904494877</v>
      </c>
      <c r="Y449" s="50">
        <v>0.99837556130892446</v>
      </c>
      <c r="Z449" s="50">
        <v>0.99837556130892446</v>
      </c>
    </row>
    <row r="450" spans="19:26">
      <c r="S450" s="50">
        <v>0.95873090959088592</v>
      </c>
      <c r="T450" s="50">
        <v>0.94553751773068517</v>
      </c>
      <c r="U450" s="50">
        <v>0.96035977425954033</v>
      </c>
      <c r="V450" s="50">
        <v>1.0190086511604999</v>
      </c>
      <c r="W450" s="50">
        <v>0.75601463034323024</v>
      </c>
      <c r="X450" s="50">
        <v>0.75601463034323024</v>
      </c>
      <c r="Y450" s="50">
        <v>0.98123490394563451</v>
      </c>
      <c r="Z450" s="50">
        <v>0.98123490394563451</v>
      </c>
    </row>
    <row r="451" spans="19:26">
      <c r="S451" s="50">
        <v>0.96279860609970358</v>
      </c>
      <c r="T451" s="50">
        <v>0.95083457900087764</v>
      </c>
      <c r="U451" s="50">
        <v>0.95519646268066527</v>
      </c>
      <c r="V451" s="50">
        <v>1.1306802523768074</v>
      </c>
      <c r="W451" s="50">
        <v>0.7302892896505766</v>
      </c>
      <c r="X451" s="50">
        <v>0.7302892896505766</v>
      </c>
      <c r="Y451" s="50">
        <v>0.99748195312935817</v>
      </c>
      <c r="Z451" s="50">
        <v>0.99748195312935817</v>
      </c>
    </row>
    <row r="452" spans="19:26">
      <c r="S452" s="50">
        <v>0.96343652426099047</v>
      </c>
      <c r="T452" s="50">
        <v>0.95168600147369919</v>
      </c>
      <c r="U452" s="50">
        <v>0.97194562827389019</v>
      </c>
      <c r="V452" s="50">
        <v>1.0587083710782839</v>
      </c>
      <c r="W452" s="50">
        <v>0.8608844982143018</v>
      </c>
      <c r="X452" s="50">
        <v>0.8608844982143018</v>
      </c>
      <c r="Y452" s="50">
        <v>0.99530337258808688</v>
      </c>
      <c r="Z452" s="50">
        <v>0.99530337258808688</v>
      </c>
    </row>
    <row r="453" spans="19:26">
      <c r="S453" s="50">
        <v>0.95210999316456568</v>
      </c>
      <c r="T453" s="50">
        <v>0.93693098858866997</v>
      </c>
      <c r="U453" s="50">
        <v>0.82923306875888203</v>
      </c>
      <c r="V453" s="50">
        <v>0.96256787966357038</v>
      </c>
      <c r="W453" s="50">
        <v>0.71859326431117432</v>
      </c>
      <c r="X453" s="50">
        <v>0.71859326431117432</v>
      </c>
      <c r="Y453" s="50">
        <v>0.96387967052246615</v>
      </c>
      <c r="Z453" s="50">
        <v>0.96387967052246615</v>
      </c>
    </row>
    <row r="454" spans="19:26">
      <c r="S454" s="50">
        <v>0.95446042903225381</v>
      </c>
      <c r="T454" s="50">
        <v>0.93998799345852813</v>
      </c>
      <c r="U454" s="50">
        <v>0.98560486007285109</v>
      </c>
      <c r="V454" s="50">
        <v>1.0689708891860412</v>
      </c>
      <c r="W454" s="50">
        <v>0.7597866446102044</v>
      </c>
      <c r="X454" s="50">
        <v>0.7597866446102044</v>
      </c>
      <c r="Y454" s="50">
        <v>0.96864847453082537</v>
      </c>
      <c r="Z454" s="50">
        <v>0.96864847453082537</v>
      </c>
    </row>
    <row r="455" spans="19:26">
      <c r="S455" s="50">
        <v>0.96077258243618979</v>
      </c>
      <c r="T455" s="50">
        <v>0.94820928591306863</v>
      </c>
      <c r="U455" s="50">
        <v>1.0887369036166274</v>
      </c>
      <c r="V455" s="50">
        <v>1.0073059556769055</v>
      </c>
      <c r="W455" s="50">
        <v>0.8401213106927814</v>
      </c>
      <c r="X455" s="50">
        <v>0.8401213106927814</v>
      </c>
      <c r="Y455" s="50">
        <v>0.98570117904773025</v>
      </c>
      <c r="Z455" s="50">
        <v>0.98570117904773025</v>
      </c>
    </row>
    <row r="456" spans="19:26">
      <c r="S456" s="50">
        <v>0.96391587920351318</v>
      </c>
      <c r="T456" s="50">
        <v>0.95230726795667886</v>
      </c>
      <c r="U456" s="50">
        <v>0.9816033158193439</v>
      </c>
      <c r="V456" s="50">
        <v>0.9062235551250758</v>
      </c>
      <c r="W456" s="50">
        <v>0.82384331170917147</v>
      </c>
      <c r="X456" s="50">
        <v>0.82384331170917147</v>
      </c>
      <c r="Y456" s="50">
        <v>0.99853910476319241</v>
      </c>
      <c r="Z456" s="50">
        <v>0.99853910476319241</v>
      </c>
    </row>
    <row r="457" spans="19:26">
      <c r="S457" s="50">
        <v>0.9473811479808758</v>
      </c>
      <c r="T457" s="50">
        <v>0.93083281841476118</v>
      </c>
      <c r="U457" s="50">
        <v>0.97827709733628387</v>
      </c>
      <c r="V457" s="50">
        <v>1.0106683010884896</v>
      </c>
      <c r="W457" s="50">
        <v>0.81290324736647623</v>
      </c>
      <c r="X457" s="50">
        <v>0.81290324736647623</v>
      </c>
      <c r="Y457" s="50">
        <v>0.95218484066763842</v>
      </c>
      <c r="Z457" s="50">
        <v>0.95218484066763842</v>
      </c>
    </row>
    <row r="458" spans="19:26">
      <c r="S458" s="50">
        <v>0.94945144157080319</v>
      </c>
      <c r="T458" s="50">
        <v>0.93349883831400982</v>
      </c>
      <c r="U458" s="50">
        <v>0.8850191872819132</v>
      </c>
      <c r="V458" s="50">
        <v>0.82229725845086477</v>
      </c>
      <c r="W458" s="50">
        <v>0.76342648014175085</v>
      </c>
      <c r="X458" s="50">
        <v>0.76342648014175085</v>
      </c>
      <c r="Y458" s="50">
        <v>0.9570272732477989</v>
      </c>
      <c r="Z458" s="50">
        <v>0.9570272732477989</v>
      </c>
    </row>
    <row r="459" spans="19:26">
      <c r="S459" s="50">
        <v>0.9639546630265361</v>
      </c>
      <c r="T459" s="50">
        <v>0.95236033708136869</v>
      </c>
      <c r="U459" s="50">
        <v>0.86729239835152128</v>
      </c>
      <c r="V459" s="50">
        <v>1.1524590055363653</v>
      </c>
      <c r="W459" s="50">
        <v>0.8432740168377223</v>
      </c>
      <c r="X459" s="50">
        <v>0.8432740168377223</v>
      </c>
      <c r="Y459" s="50">
        <v>0.99804646842660372</v>
      </c>
      <c r="Z459" s="50">
        <v>0.99804646842660372</v>
      </c>
    </row>
    <row r="460" spans="19:26">
      <c r="S460" s="50">
        <v>0.95722001117321787</v>
      </c>
      <c r="T460" s="50">
        <v>0.94356884049599377</v>
      </c>
      <c r="U460" s="50">
        <v>0.86074170765411817</v>
      </c>
      <c r="V460" s="50">
        <v>0.79906812983931985</v>
      </c>
      <c r="W460" s="50">
        <v>0.73927417555940655</v>
      </c>
      <c r="X460" s="50">
        <v>0.73927417555940655</v>
      </c>
      <c r="Y460" s="50">
        <v>0.97699377126546871</v>
      </c>
      <c r="Z460" s="50">
        <v>0.97699377126546871</v>
      </c>
    </row>
    <row r="461" spans="19:26">
      <c r="S461" s="50">
        <v>0.9641077824855071</v>
      </c>
      <c r="T461" s="50">
        <v>0.95255584273183114</v>
      </c>
      <c r="U461" s="50">
        <v>0.90837873385674761</v>
      </c>
      <c r="V461" s="50">
        <v>1.0328180041915642</v>
      </c>
      <c r="W461" s="50">
        <v>0.80833896814339734</v>
      </c>
      <c r="X461" s="50">
        <v>0.80833896814339734</v>
      </c>
      <c r="Y461" s="50">
        <v>0.9999449726964097</v>
      </c>
      <c r="Z461" s="50">
        <v>0.9999449726964097</v>
      </c>
    </row>
    <row r="462" spans="19:26">
      <c r="S462" s="50">
        <v>0.94711921211970096</v>
      </c>
      <c r="T462" s="50">
        <v>0.93047814699107478</v>
      </c>
      <c r="U462" s="50">
        <v>0.82924922232848697</v>
      </c>
      <c r="V462" s="50">
        <v>0.99726606152845954</v>
      </c>
      <c r="W462" s="50">
        <v>0.73590505380657623</v>
      </c>
      <c r="X462" s="50">
        <v>0.73590505380657623</v>
      </c>
      <c r="Y462" s="50">
        <v>0.95301283501869516</v>
      </c>
      <c r="Z462" s="50">
        <v>0.95301283501869516</v>
      </c>
    </row>
    <row r="463" spans="19:26">
      <c r="S463" s="50">
        <v>0.95921734446474316</v>
      </c>
      <c r="T463" s="50">
        <v>0.94617475839982068</v>
      </c>
      <c r="U463" s="50">
        <v>1.0770569266572523</v>
      </c>
      <c r="V463" s="50">
        <v>0.98508432476037722</v>
      </c>
      <c r="W463" s="50">
        <v>0.77961406043123027</v>
      </c>
      <c r="X463" s="50">
        <v>0.77961406043123027</v>
      </c>
      <c r="Y463" s="50">
        <v>0.9821017972919881</v>
      </c>
      <c r="Z463" s="50">
        <v>0.9821017972919881</v>
      </c>
    </row>
    <row r="464" spans="19:26">
      <c r="S464" s="50">
        <v>0.96083404539987805</v>
      </c>
      <c r="T464" s="50">
        <v>0.94827855950730688</v>
      </c>
      <c r="U464" s="50">
        <v>0.95220649903553234</v>
      </c>
      <c r="V464" s="50">
        <v>0.91062941304394973</v>
      </c>
      <c r="W464" s="50">
        <v>0.76689312321157266</v>
      </c>
      <c r="X464" s="50">
        <v>0.76689312321157266</v>
      </c>
      <c r="Y464" s="50">
        <v>0.98819142581311314</v>
      </c>
      <c r="Z464" s="50">
        <v>0.98819142581311314</v>
      </c>
    </row>
    <row r="465" spans="19:26">
      <c r="S465" s="50">
        <v>0.9615722230759276</v>
      </c>
      <c r="T465" s="50">
        <v>0.94924387550108913</v>
      </c>
      <c r="U465" s="50">
        <v>0.89176757309212262</v>
      </c>
      <c r="V465" s="50">
        <v>0.85100833115074881</v>
      </c>
      <c r="W465" s="50">
        <v>0.78599013375940407</v>
      </c>
      <c r="X465" s="50">
        <v>0.78599013375940407</v>
      </c>
      <c r="Y465" s="50">
        <v>0.99029978319924272</v>
      </c>
      <c r="Z465" s="50">
        <v>0.99029978319924272</v>
      </c>
    </row>
    <row r="466" spans="19:26">
      <c r="S466" s="50">
        <v>0.95752575279130536</v>
      </c>
      <c r="T466" s="50">
        <v>0.94397293278965644</v>
      </c>
      <c r="U466" s="50">
        <v>1.0425699257667986</v>
      </c>
      <c r="V466" s="50">
        <v>1.0331007735224214</v>
      </c>
      <c r="W466" s="50">
        <v>0.77468204592514889</v>
      </c>
      <c r="X466" s="50">
        <v>0.77468204592514889</v>
      </c>
      <c r="Y466" s="50">
        <v>0.9768654596576245</v>
      </c>
      <c r="Z466" s="50">
        <v>0.9768654596576245</v>
      </c>
    </row>
    <row r="467" spans="19:26">
      <c r="S467" s="50">
        <v>0.9592615448032259</v>
      </c>
      <c r="T467" s="50">
        <v>0.94623643277887437</v>
      </c>
      <c r="U467" s="50">
        <v>0.88824914440711467</v>
      </c>
      <c r="V467" s="50">
        <v>0.99030377967201122</v>
      </c>
      <c r="W467" s="50">
        <v>0.80578132490566146</v>
      </c>
      <c r="X467" s="50">
        <v>0.80578132490566146</v>
      </c>
      <c r="Y467" s="50">
        <v>0.98148449366583745</v>
      </c>
      <c r="Z467" s="50">
        <v>0.98148449366583745</v>
      </c>
    </row>
    <row r="468" spans="19:26">
      <c r="S468" s="50">
        <v>0.95843864354372665</v>
      </c>
      <c r="T468" s="50">
        <v>0.94516574061544079</v>
      </c>
      <c r="U468" s="50">
        <v>0.9920340674589837</v>
      </c>
      <c r="V468" s="50">
        <v>0.89637480275294479</v>
      </c>
      <c r="W468" s="50">
        <v>0.80754326162699386</v>
      </c>
      <c r="X468" s="50">
        <v>0.80754326162699386</v>
      </c>
      <c r="Y468" s="50">
        <v>0.97878818445684679</v>
      </c>
      <c r="Z468" s="50">
        <v>0.97878818445684679</v>
      </c>
    </row>
    <row r="469" spans="19:26">
      <c r="S469" s="50">
        <v>0.96230458375409988</v>
      </c>
      <c r="T469" s="50">
        <v>0.95020238519038491</v>
      </c>
      <c r="U469" s="50">
        <v>1.0033809647484537</v>
      </c>
      <c r="V469" s="50">
        <v>0.94544002011175088</v>
      </c>
      <c r="W469" s="50">
        <v>0.80923701504389922</v>
      </c>
      <c r="X469" s="50">
        <v>0.80923701504389922</v>
      </c>
      <c r="Y469" s="50">
        <v>0.99235964910198537</v>
      </c>
      <c r="Z469" s="50">
        <v>0.99235964910198537</v>
      </c>
    </row>
    <row r="470" spans="19:26">
      <c r="S470" s="50">
        <v>0.96063764805939245</v>
      </c>
      <c r="T470" s="50">
        <v>0.94802151946091884</v>
      </c>
      <c r="U470" s="50">
        <v>1.0328992595366939</v>
      </c>
      <c r="V470" s="50">
        <v>0.99155855317984898</v>
      </c>
      <c r="W470" s="50">
        <v>0.76038183010408744</v>
      </c>
      <c r="X470" s="50">
        <v>0.76038183010408744</v>
      </c>
      <c r="Y470" s="50">
        <v>0.98769995792008269</v>
      </c>
      <c r="Z470" s="50">
        <v>0.98769995792008269</v>
      </c>
    </row>
    <row r="471" spans="19:26">
      <c r="S471" s="50">
        <v>0.96075979346147389</v>
      </c>
      <c r="T471" s="50">
        <v>0.94818256136210399</v>
      </c>
      <c r="U471" s="50">
        <v>0.8442288303088753</v>
      </c>
      <c r="V471" s="50">
        <v>0.95442951463989811</v>
      </c>
      <c r="W471" s="50">
        <v>0.77161159346284247</v>
      </c>
      <c r="X471" s="50">
        <v>0.77161159346284247</v>
      </c>
      <c r="Y471" s="50">
        <v>0.98775352858315602</v>
      </c>
      <c r="Z471" s="50">
        <v>0.98775352858315602</v>
      </c>
    </row>
    <row r="472" spans="19:26">
      <c r="S472" s="50">
        <v>0.95703987201822149</v>
      </c>
      <c r="T472" s="50">
        <v>0.94335214807534062</v>
      </c>
      <c r="U472" s="50">
        <v>1.0125819434888854</v>
      </c>
      <c r="V472" s="50">
        <v>0.95180912039495258</v>
      </c>
      <c r="W472" s="50">
        <v>0.84398899769673186</v>
      </c>
      <c r="X472" s="50">
        <v>0.84398899769673186</v>
      </c>
      <c r="Y472" s="50">
        <v>0.97371937662095753</v>
      </c>
      <c r="Z472" s="50">
        <v>0.97371937662095753</v>
      </c>
    </row>
    <row r="473" spans="19:26">
      <c r="S473" s="50">
        <v>0.96343169900321846</v>
      </c>
      <c r="T473" s="50">
        <v>0.95167565412764876</v>
      </c>
      <c r="U473" s="50">
        <v>0.89593295746089163</v>
      </c>
      <c r="V473" s="50">
        <v>0.95633135386683965</v>
      </c>
      <c r="W473" s="50">
        <v>0.82788585220319821</v>
      </c>
      <c r="X473" s="50">
        <v>0.82788585220319821</v>
      </c>
      <c r="Y473" s="50">
        <v>0.99633051100164371</v>
      </c>
      <c r="Z473" s="50">
        <v>0.99633051100164371</v>
      </c>
    </row>
    <row r="474" spans="19:26">
      <c r="S474" s="50">
        <v>0.96351595564632686</v>
      </c>
      <c r="T474" s="50">
        <v>0.95177386727769009</v>
      </c>
      <c r="U474" s="50">
        <v>0.92832929896060035</v>
      </c>
      <c r="V474" s="50">
        <v>0.96911627124277855</v>
      </c>
      <c r="W474" s="50">
        <v>0.74681954347942492</v>
      </c>
      <c r="X474" s="50">
        <v>0.74681954347942492</v>
      </c>
      <c r="Y474" s="50">
        <v>0.99985361423686925</v>
      </c>
      <c r="Z474" s="50">
        <v>0.99985361423686925</v>
      </c>
    </row>
    <row r="475" spans="19:26">
      <c r="S475" s="50">
        <v>0.96292199017621316</v>
      </c>
      <c r="T475" s="50">
        <v>0.95100648092817619</v>
      </c>
      <c r="U475" s="50">
        <v>1.1125935845611628</v>
      </c>
      <c r="V475" s="50">
        <v>1.094786755161544</v>
      </c>
      <c r="W475" s="50">
        <v>0.79893445261962293</v>
      </c>
      <c r="X475" s="50">
        <v>0.79893445261962293</v>
      </c>
      <c r="Y475" s="50">
        <v>0.9952095416165827</v>
      </c>
      <c r="Z475" s="50">
        <v>0.9952095416165827</v>
      </c>
    </row>
    <row r="476" spans="19:26">
      <c r="S476" s="50">
        <v>0.96003828002941172</v>
      </c>
      <c r="T476" s="50">
        <v>0.94724429004234223</v>
      </c>
      <c r="U476" s="50">
        <v>0.98931716714626661</v>
      </c>
      <c r="V476" s="50">
        <v>1.0689034329121863</v>
      </c>
      <c r="W476" s="50">
        <v>0.78269379386843685</v>
      </c>
      <c r="X476" s="50">
        <v>0.78269379386843685</v>
      </c>
      <c r="Y476" s="50">
        <v>0.98480567165255639</v>
      </c>
      <c r="Z476" s="50">
        <v>0.98480567165255639</v>
      </c>
    </row>
    <row r="477" spans="19:26">
      <c r="S477" s="50">
        <v>0.95912352818248603</v>
      </c>
      <c r="T477" s="50">
        <v>0.94605791707278231</v>
      </c>
      <c r="U477" s="50">
        <v>0.92729968420322639</v>
      </c>
      <c r="V477" s="50">
        <v>0.912726052263514</v>
      </c>
      <c r="W477" s="50">
        <v>0.81340269019838052</v>
      </c>
      <c r="X477" s="50">
        <v>0.81340269019838052</v>
      </c>
      <c r="Y477" s="50">
        <v>0.98082318660400114</v>
      </c>
      <c r="Z477" s="50">
        <v>0.98082318660400114</v>
      </c>
    </row>
    <row r="478" spans="19:26">
      <c r="S478" s="50">
        <v>0.95842671589833195</v>
      </c>
      <c r="T478" s="50">
        <v>0.94515262961016522</v>
      </c>
      <c r="U478" s="50">
        <v>0.87701872666780512</v>
      </c>
      <c r="V478" s="50">
        <v>0.79518480027598415</v>
      </c>
      <c r="W478" s="50">
        <v>0.82357294085924537</v>
      </c>
      <c r="X478" s="50">
        <v>0.82357294085924537</v>
      </c>
      <c r="Y478" s="50">
        <v>0.97833844716090479</v>
      </c>
      <c r="Z478" s="50">
        <v>0.97833844716090479</v>
      </c>
    </row>
    <row r="479" spans="19:26">
      <c r="S479" s="50">
        <v>0.96293208180403</v>
      </c>
      <c r="T479" s="50">
        <v>0.95101140736827761</v>
      </c>
      <c r="U479" s="50">
        <v>0.9758887088582181</v>
      </c>
      <c r="V479" s="50">
        <v>0.97872670332568645</v>
      </c>
      <c r="W479" s="50">
        <v>0.74547287331169332</v>
      </c>
      <c r="X479" s="50">
        <v>0.74547287331169332</v>
      </c>
      <c r="Y479" s="50">
        <v>0.99737038429015712</v>
      </c>
      <c r="Z479" s="50">
        <v>0.99737038429015712</v>
      </c>
    </row>
    <row r="480" spans="19:26">
      <c r="S480" s="50">
        <v>0.96139733064686494</v>
      </c>
      <c r="T480" s="50">
        <v>0.94901439758557427</v>
      </c>
      <c r="U480" s="50">
        <v>1.0974646977866087</v>
      </c>
      <c r="V480" s="50">
        <v>0.82227956458578899</v>
      </c>
      <c r="W480" s="50">
        <v>0.77664879625062311</v>
      </c>
      <c r="X480" s="50">
        <v>0.77664879625062311</v>
      </c>
      <c r="Y480" s="50">
        <v>0.9899584212998831</v>
      </c>
      <c r="Z480" s="50">
        <v>0.9899584212998831</v>
      </c>
    </row>
    <row r="481" spans="19:26">
      <c r="S481" s="50">
        <v>0.96200166573503987</v>
      </c>
      <c r="T481" s="50">
        <v>0.94980006909880299</v>
      </c>
      <c r="U481" s="50">
        <v>0.9496859606091006</v>
      </c>
      <c r="V481" s="50">
        <v>0.83781126681366669</v>
      </c>
      <c r="W481" s="50">
        <v>0.76156514666984432</v>
      </c>
      <c r="X481" s="50">
        <v>0.76156514666984432</v>
      </c>
      <c r="Y481" s="50">
        <v>0.99286777071025345</v>
      </c>
      <c r="Z481" s="50">
        <v>0.99286777071025345</v>
      </c>
    </row>
    <row r="482" spans="19:26">
      <c r="S482" s="50">
        <v>0.95947722875204799</v>
      </c>
      <c r="T482" s="50">
        <v>0.94651273430002758</v>
      </c>
      <c r="U482" s="50">
        <v>0.8906210473385564</v>
      </c>
      <c r="V482" s="50">
        <v>0.95543801591485356</v>
      </c>
      <c r="W482" s="50">
        <v>0.77725634234801599</v>
      </c>
      <c r="X482" s="50">
        <v>0.77725634234801599</v>
      </c>
      <c r="Y482" s="50">
        <v>0.98304777623720507</v>
      </c>
      <c r="Z482" s="50">
        <v>0.98304777623720507</v>
      </c>
    </row>
    <row r="483" spans="19:26">
      <c r="S483" s="50">
        <v>0.96138594129182386</v>
      </c>
      <c r="T483" s="50">
        <v>0.94899351540006627</v>
      </c>
      <c r="U483" s="50">
        <v>1.0527185780686552</v>
      </c>
      <c r="V483" s="50">
        <v>1.1301026019108409</v>
      </c>
      <c r="W483" s="50">
        <v>0.74054509704367033</v>
      </c>
      <c r="X483" s="50">
        <v>0.74054509704367033</v>
      </c>
      <c r="Y483" s="50">
        <v>0.99127686457942388</v>
      </c>
      <c r="Z483" s="50">
        <v>0.99127686457942388</v>
      </c>
    </row>
    <row r="484" spans="19:26">
      <c r="S484" s="50">
        <v>0.95530923214959906</v>
      </c>
      <c r="T484" s="50">
        <v>0.94108880315366983</v>
      </c>
      <c r="U484" s="50">
        <v>0.91736494420061632</v>
      </c>
      <c r="V484" s="50">
        <v>0.8472935720598721</v>
      </c>
      <c r="W484" s="50">
        <v>0.75410088877912373</v>
      </c>
      <c r="X484" s="50">
        <v>0.75410088877912373</v>
      </c>
      <c r="Y484" s="50">
        <v>0.97105644646790779</v>
      </c>
      <c r="Z484" s="50">
        <v>0.97105644646790779</v>
      </c>
    </row>
    <row r="485" spans="19:26">
      <c r="S485" s="50">
        <v>0.9537047981946315</v>
      </c>
      <c r="T485" s="50">
        <v>0.93900384263903336</v>
      </c>
      <c r="U485" s="50">
        <v>1.1273188919085031</v>
      </c>
      <c r="V485" s="50">
        <v>1.2178031506542777</v>
      </c>
      <c r="W485" s="50">
        <v>0.74140845322167515</v>
      </c>
      <c r="X485" s="50">
        <v>0.74140845322167515</v>
      </c>
      <c r="Y485" s="50">
        <v>0.96718206223814485</v>
      </c>
      <c r="Z485" s="50">
        <v>0.96718206223814485</v>
      </c>
    </row>
    <row r="486" spans="19:26">
      <c r="S486" s="50">
        <v>0.96298364490249622</v>
      </c>
      <c r="T486" s="50">
        <v>0.95109361290885652</v>
      </c>
      <c r="U486" s="50">
        <v>1.0238633064090246</v>
      </c>
      <c r="V486" s="50">
        <v>0.88987291022074966</v>
      </c>
      <c r="W486" s="50">
        <v>0.84963454439859143</v>
      </c>
      <c r="X486" s="50">
        <v>0.84963454439859143</v>
      </c>
      <c r="Y486" s="50">
        <v>0.99379153603146819</v>
      </c>
      <c r="Z486" s="50">
        <v>0.99379153603146819</v>
      </c>
    </row>
    <row r="487" spans="19:26">
      <c r="S487" s="50">
        <v>0.9630608346502606</v>
      </c>
      <c r="T487" s="50">
        <v>0.95117667905241021</v>
      </c>
      <c r="U487" s="50">
        <v>0.93430866879452257</v>
      </c>
      <c r="V487" s="50">
        <v>1.0765442016211122</v>
      </c>
      <c r="W487" s="50">
        <v>0.72923794393847374</v>
      </c>
      <c r="X487" s="50">
        <v>0.72923794393847374</v>
      </c>
      <c r="Y487" s="50">
        <v>0.9986641683102746</v>
      </c>
      <c r="Z487" s="50">
        <v>0.9986641683102746</v>
      </c>
    </row>
    <row r="488" spans="19:26">
      <c r="S488" s="50">
        <v>0.95596611465546699</v>
      </c>
      <c r="T488" s="50">
        <v>0.94195045594507787</v>
      </c>
      <c r="U488" s="50">
        <v>0.83195371357892556</v>
      </c>
      <c r="V488" s="50">
        <v>0.86733632837376351</v>
      </c>
      <c r="W488" s="50">
        <v>0.80167225929228603</v>
      </c>
      <c r="X488" s="50">
        <v>0.80167225929228603</v>
      </c>
      <c r="Y488" s="50">
        <v>0.97165852994979252</v>
      </c>
      <c r="Z488" s="50">
        <v>0.97165852994979252</v>
      </c>
    </row>
    <row r="489" spans="19:26">
      <c r="S489" s="50">
        <v>0.96262808912759246</v>
      </c>
      <c r="T489" s="50">
        <v>0.95061965159564599</v>
      </c>
      <c r="U489" s="50">
        <v>0.92845749955911716</v>
      </c>
      <c r="V489" s="50">
        <v>0.87497222490832038</v>
      </c>
      <c r="W489" s="50">
        <v>0.77646610893996026</v>
      </c>
      <c r="X489" s="50">
        <v>0.77646610893996026</v>
      </c>
      <c r="Y489" s="50">
        <v>0.99482937856276399</v>
      </c>
      <c r="Z489" s="50">
        <v>0.99482937856276399</v>
      </c>
    </row>
    <row r="490" spans="19:26">
      <c r="S490" s="50">
        <v>0.94877698997072513</v>
      </c>
      <c r="T490" s="50">
        <v>0.93262630907418809</v>
      </c>
      <c r="U490" s="50">
        <v>0.81759576684006119</v>
      </c>
      <c r="V490" s="50">
        <v>0.69779470431010593</v>
      </c>
      <c r="W490" s="50">
        <v>0.76187682384254285</v>
      </c>
      <c r="X490" s="50">
        <v>0.76187682384254285</v>
      </c>
      <c r="Y490" s="50">
        <v>0.95570067128982794</v>
      </c>
      <c r="Z490" s="50">
        <v>0.95570067128982794</v>
      </c>
    </row>
    <row r="491" spans="19:26">
      <c r="S491" s="50">
        <v>0.96065904750208742</v>
      </c>
      <c r="T491" s="50">
        <v>0.9480201827410708</v>
      </c>
      <c r="U491" s="50">
        <v>0.90930383918245605</v>
      </c>
      <c r="V491" s="50">
        <v>0.94433089932321779</v>
      </c>
      <c r="W491" s="50">
        <v>0.62484934821347726</v>
      </c>
      <c r="X491" s="50">
        <v>0.62484934821347726</v>
      </c>
      <c r="Y491" s="50">
        <v>0.99429404884028583</v>
      </c>
      <c r="Z491" s="50">
        <v>0.99429404884028583</v>
      </c>
    </row>
    <row r="492" spans="19:26">
      <c r="S492" s="50">
        <v>0.95128497528281653</v>
      </c>
      <c r="T492" s="50">
        <v>0.93587326613377919</v>
      </c>
      <c r="U492" s="50">
        <v>0.99898654817534793</v>
      </c>
      <c r="V492" s="50">
        <v>1.2124583385105421</v>
      </c>
      <c r="W492" s="50">
        <v>0.77003242278313444</v>
      </c>
      <c r="X492" s="50">
        <v>0.77003242278313444</v>
      </c>
      <c r="Y492" s="50">
        <v>0.96079298221022624</v>
      </c>
      <c r="Z492" s="50">
        <v>0.96079298221022624</v>
      </c>
    </row>
    <row r="493" spans="19:26">
      <c r="S493" s="50">
        <v>0.96287914801932284</v>
      </c>
      <c r="T493" s="50">
        <v>0.95094764079679606</v>
      </c>
      <c r="U493" s="50">
        <v>1.1180146415960779</v>
      </c>
      <c r="V493" s="50">
        <v>1.034390663349763</v>
      </c>
      <c r="W493" s="50">
        <v>0.77890939331732334</v>
      </c>
      <c r="X493" s="50">
        <v>0.77890939331732334</v>
      </c>
      <c r="Y493" s="50">
        <v>0.99577491292724163</v>
      </c>
      <c r="Z493" s="50">
        <v>0.99577491292724163</v>
      </c>
    </row>
    <row r="494" spans="19:26">
      <c r="S494" s="50">
        <v>0.96342899026427098</v>
      </c>
      <c r="T494" s="50">
        <v>0.95166531714786029</v>
      </c>
      <c r="U494" s="50">
        <v>0.92753598858768782</v>
      </c>
      <c r="V494" s="50">
        <v>0.95406531452519683</v>
      </c>
      <c r="W494" s="50">
        <v>0.77873205512141297</v>
      </c>
      <c r="X494" s="50">
        <v>0.77873205512141297</v>
      </c>
      <c r="Y494" s="50">
        <v>0.99811593697632262</v>
      </c>
      <c r="Z494" s="50">
        <v>0.99811593697632262</v>
      </c>
    </row>
    <row r="495" spans="19:26">
      <c r="S495" s="50">
        <v>0.96388238403410809</v>
      </c>
      <c r="T495" s="50">
        <v>0.95226458603863595</v>
      </c>
      <c r="U495" s="50">
        <v>0.84655322479082584</v>
      </c>
      <c r="V495" s="50">
        <v>0.79067113551530266</v>
      </c>
      <c r="W495" s="50">
        <v>0.83215139069513755</v>
      </c>
      <c r="X495" s="50">
        <v>0.83215139069513755</v>
      </c>
      <c r="Y495" s="50">
        <v>0.99810685863369975</v>
      </c>
      <c r="Z495" s="50">
        <v>0.99810685863369975</v>
      </c>
    </row>
    <row r="496" spans="19:26">
      <c r="S496" s="50">
        <v>0.96306799026140777</v>
      </c>
      <c r="T496" s="50">
        <v>0.95120269367159382</v>
      </c>
      <c r="U496" s="50">
        <v>1.0140532161784994</v>
      </c>
      <c r="V496" s="50">
        <v>0.9586447166324582</v>
      </c>
      <c r="W496" s="50">
        <v>0.84165434036903775</v>
      </c>
      <c r="X496" s="50">
        <v>0.84165434036903775</v>
      </c>
      <c r="Y496" s="50">
        <v>0.99437926342641525</v>
      </c>
      <c r="Z496" s="50">
        <v>0.99437926342641525</v>
      </c>
    </row>
    <row r="497" spans="19:26">
      <c r="S497" s="50">
        <v>0.95734540268326029</v>
      </c>
      <c r="T497" s="50">
        <v>0.94373077992516297</v>
      </c>
      <c r="U497" s="50">
        <v>0.91307291577911365</v>
      </c>
      <c r="V497" s="50">
        <v>1.0291906510024309</v>
      </c>
      <c r="W497" s="50">
        <v>0.73362319622920114</v>
      </c>
      <c r="X497" s="50">
        <v>0.73362319622920114</v>
      </c>
      <c r="Y497" s="50">
        <v>0.97755906643727941</v>
      </c>
      <c r="Z497" s="50">
        <v>0.97755906643727941</v>
      </c>
    </row>
    <row r="498" spans="19:26">
      <c r="S498" s="50">
        <v>0.96221531949847394</v>
      </c>
      <c r="T498" s="50">
        <v>0.95006569251385853</v>
      </c>
      <c r="U498" s="50">
        <v>0.92010922152123908</v>
      </c>
      <c r="V498" s="50">
        <v>1.0081898427312737</v>
      </c>
      <c r="W498" s="50">
        <v>0.69007901458787979</v>
      </c>
      <c r="X498" s="50">
        <v>0.69007901458787979</v>
      </c>
      <c r="Y498" s="50">
        <v>0.99697401360295834</v>
      </c>
      <c r="Z498" s="50">
        <v>0.99697401360295834</v>
      </c>
    </row>
    <row r="499" spans="19:26">
      <c r="S499" s="50">
        <v>0.96302932578720379</v>
      </c>
      <c r="T499" s="50">
        <v>0.95114280581590083</v>
      </c>
      <c r="U499" s="50">
        <v>1.028189280457793</v>
      </c>
      <c r="V499" s="50">
        <v>0.83098478247774288</v>
      </c>
      <c r="W499" s="50">
        <v>0.77340924177215875</v>
      </c>
      <c r="X499" s="50">
        <v>0.77340924177215875</v>
      </c>
      <c r="Y499" s="50">
        <v>0.99661978194727152</v>
      </c>
      <c r="Z499" s="50">
        <v>0.99661978194727152</v>
      </c>
    </row>
    <row r="500" spans="19:26">
      <c r="S500" s="50">
        <v>0.96269609389551458</v>
      </c>
      <c r="T500" s="50">
        <v>0.95071899191512366</v>
      </c>
      <c r="U500" s="50">
        <v>0.88934554643907682</v>
      </c>
      <c r="V500" s="50">
        <v>0.89840775642393234</v>
      </c>
      <c r="W500" s="50">
        <v>0.85427373697640396</v>
      </c>
      <c r="X500" s="50">
        <v>0.85427373697640396</v>
      </c>
      <c r="Y500" s="50">
        <v>0.99250364664292201</v>
      </c>
      <c r="Z500" s="50">
        <v>0.99250364664292201</v>
      </c>
    </row>
    <row r="501" spans="19:26">
      <c r="S501" s="50">
        <v>0.96367635652741446</v>
      </c>
      <c r="T501" s="50">
        <v>0.95198693378700583</v>
      </c>
      <c r="U501" s="50">
        <v>0.98239001407114313</v>
      </c>
      <c r="V501" s="50">
        <v>0.90414251302849724</v>
      </c>
      <c r="W501" s="50">
        <v>0.76971129442979846</v>
      </c>
      <c r="X501" s="50">
        <v>0.76971129442979846</v>
      </c>
      <c r="Y501" s="50">
        <v>0.99956587407324249</v>
      </c>
      <c r="Z501" s="50">
        <v>0.99956587407324249</v>
      </c>
    </row>
    <row r="502" spans="19:26">
      <c r="S502" s="50">
        <v>0.96212586561439306</v>
      </c>
      <c r="T502" s="50">
        <v>0.94997271980624409</v>
      </c>
      <c r="U502" s="50">
        <v>0.94840483430442946</v>
      </c>
      <c r="V502" s="50">
        <v>0.97769441406140112</v>
      </c>
      <c r="W502" s="50">
        <v>0.83474097190085339</v>
      </c>
      <c r="X502" s="50">
        <v>0.83474097190085339</v>
      </c>
      <c r="Y502" s="50">
        <v>0.9908558466723929</v>
      </c>
      <c r="Z502" s="50">
        <v>0.9908558466723929</v>
      </c>
    </row>
    <row r="503" spans="19:26">
      <c r="S503" s="50">
        <v>0.96248246845962837</v>
      </c>
      <c r="T503" s="50">
        <v>0.95043129960337913</v>
      </c>
      <c r="U503" s="50">
        <v>0.9733701544955552</v>
      </c>
      <c r="V503" s="50">
        <v>0.84250152607147066</v>
      </c>
      <c r="W503" s="50">
        <v>0.78739309928291568</v>
      </c>
      <c r="X503" s="50">
        <v>0.78739309928291568</v>
      </c>
      <c r="Y503" s="50">
        <v>0.99382913907688253</v>
      </c>
      <c r="Z503" s="50">
        <v>0.99382913907688253</v>
      </c>
    </row>
    <row r="504" spans="19:26">
      <c r="S504" s="50">
        <v>0.96003345156365683</v>
      </c>
      <c r="T504" s="50">
        <v>0.94722009098133231</v>
      </c>
      <c r="U504" s="50">
        <v>0.9450448881268122</v>
      </c>
      <c r="V504" s="50">
        <v>0.89103769764714524</v>
      </c>
      <c r="W504" s="50">
        <v>0.68715782333537712</v>
      </c>
      <c r="X504" s="50">
        <v>0.68715782333537712</v>
      </c>
      <c r="Y504" s="50">
        <v>0.98844940133727299</v>
      </c>
      <c r="Z504" s="50">
        <v>0.98844940133727299</v>
      </c>
    </row>
    <row r="505" spans="19:26">
      <c r="S505" s="50">
        <v>0.95843630355270726</v>
      </c>
      <c r="T505" s="50">
        <v>0.94515838743686031</v>
      </c>
      <c r="U505" s="50">
        <v>0.91780406900660105</v>
      </c>
      <c r="V505" s="50">
        <v>0.89292238295200488</v>
      </c>
      <c r="W505" s="50">
        <v>0.78064050558252163</v>
      </c>
      <c r="X505" s="50">
        <v>0.78064050558252163</v>
      </c>
      <c r="Y505" s="50">
        <v>0.97952668663516618</v>
      </c>
      <c r="Z505" s="50">
        <v>0.97952668663516618</v>
      </c>
    </row>
    <row r="506" spans="19:26">
      <c r="S506" s="50">
        <v>0.96303896625849894</v>
      </c>
      <c r="T506" s="50">
        <v>0.95114564379822175</v>
      </c>
      <c r="U506" s="50">
        <v>0.9508443000387462</v>
      </c>
      <c r="V506" s="50">
        <v>0.90671724104970663</v>
      </c>
      <c r="W506" s="50">
        <v>0.71546580038537089</v>
      </c>
      <c r="X506" s="50">
        <v>0.71546580038537089</v>
      </c>
      <c r="Y506" s="50">
        <v>0.99923607527732738</v>
      </c>
      <c r="Z506" s="50">
        <v>0.99923607527732738</v>
      </c>
    </row>
    <row r="507" spans="19:26">
      <c r="S507" s="50">
        <v>0.96289104158546923</v>
      </c>
      <c r="T507" s="50">
        <v>0.95095273158385552</v>
      </c>
      <c r="U507" s="50">
        <v>0.89345564799479371</v>
      </c>
      <c r="V507" s="50">
        <v>1.0827675697484329</v>
      </c>
      <c r="W507" s="50">
        <v>0.71647724079609287</v>
      </c>
      <c r="X507" s="50">
        <v>0.71647724079609287</v>
      </c>
      <c r="Y507" s="50">
        <v>0.99853872341400651</v>
      </c>
      <c r="Z507" s="50">
        <v>0.99853872341400651</v>
      </c>
    </row>
    <row r="508" spans="19:26">
      <c r="S508" s="50">
        <v>0.96363052256479254</v>
      </c>
      <c r="T508" s="50">
        <v>0.95193474872557471</v>
      </c>
      <c r="U508" s="50">
        <v>1.2421135077746093</v>
      </c>
      <c r="V508" s="50">
        <v>1.141609630547058</v>
      </c>
      <c r="W508" s="50">
        <v>0.82432070698562121</v>
      </c>
      <c r="X508" s="50">
        <v>0.82432070698562121</v>
      </c>
      <c r="Y508" s="50">
        <v>0.99729347686522618</v>
      </c>
      <c r="Z508" s="50">
        <v>0.99729347686522618</v>
      </c>
    </row>
    <row r="509" spans="19:26">
      <c r="S509" s="50">
        <v>0.96348650581191975</v>
      </c>
      <c r="T509" s="50">
        <v>0.95175214743286995</v>
      </c>
      <c r="U509" s="50">
        <v>1.0950634571116138</v>
      </c>
      <c r="V509" s="50">
        <v>0.9816646227260738</v>
      </c>
      <c r="W509" s="50">
        <v>0.8687145427290428</v>
      </c>
      <c r="X509" s="50">
        <v>0.8687145427290428</v>
      </c>
      <c r="Y509" s="50">
        <v>0.99527724826792507</v>
      </c>
      <c r="Z509" s="50">
        <v>0.99527724826792507</v>
      </c>
    </row>
    <row r="510" spans="19:26">
      <c r="S510" s="50">
        <v>0.96249669590343145</v>
      </c>
      <c r="T510" s="50">
        <v>0.95044279581649393</v>
      </c>
      <c r="U510" s="50">
        <v>0.98024303891534337</v>
      </c>
      <c r="V510" s="50">
        <v>0.93394096506583701</v>
      </c>
      <c r="W510" s="50">
        <v>0.74303051820999211</v>
      </c>
      <c r="X510" s="50">
        <v>0.74303051820999211</v>
      </c>
      <c r="Y510" s="50">
        <v>0.99563992487258313</v>
      </c>
      <c r="Z510" s="50">
        <v>0.99563992487258313</v>
      </c>
    </row>
    <row r="511" spans="19:26">
      <c r="S511" s="50">
        <v>0.96060692353210431</v>
      </c>
      <c r="T511" s="50">
        <v>0.94799224292707429</v>
      </c>
      <c r="U511" s="50">
        <v>0.88384183370809566</v>
      </c>
      <c r="V511" s="50">
        <v>0.78105253222071536</v>
      </c>
      <c r="W511" s="50">
        <v>0.83121252075028207</v>
      </c>
      <c r="X511" s="50">
        <v>0.83121252075028207</v>
      </c>
      <c r="Y511" s="50">
        <v>0.98536074541018925</v>
      </c>
      <c r="Z511" s="50">
        <v>0.98536074541018925</v>
      </c>
    </row>
    <row r="512" spans="19:26">
      <c r="S512" s="50">
        <v>0.9607193193610295</v>
      </c>
      <c r="T512" s="50">
        <v>0.94812759206248176</v>
      </c>
      <c r="U512" s="50">
        <v>0.83950077769695342</v>
      </c>
      <c r="V512" s="50">
        <v>0.94879983144058033</v>
      </c>
      <c r="W512" s="50">
        <v>0.75824378261699199</v>
      </c>
      <c r="X512" s="50">
        <v>0.75824378261699199</v>
      </c>
      <c r="Y512" s="50">
        <v>0.98807702555306431</v>
      </c>
      <c r="Z512" s="50">
        <v>0.98807702555306431</v>
      </c>
    </row>
    <row r="513" spans="19:26">
      <c r="S513" s="50">
        <v>0.96139080334794502</v>
      </c>
      <c r="T513" s="50">
        <v>0.94898119757027133</v>
      </c>
      <c r="U513" s="50">
        <v>1.0302675987594387</v>
      </c>
      <c r="V513" s="50">
        <v>1.0193085560467303</v>
      </c>
      <c r="W513" s="50">
        <v>0.6507707805773606</v>
      </c>
      <c r="X513" s="50">
        <v>0.6507707805773606</v>
      </c>
      <c r="Y513" s="50">
        <v>0.99570392748987935</v>
      </c>
      <c r="Z513" s="50">
        <v>0.99570392748987935</v>
      </c>
    </row>
    <row r="514" spans="19:26">
      <c r="S514" s="50">
        <v>0.95958689390662277</v>
      </c>
      <c r="T514" s="50">
        <v>0.94665730918620183</v>
      </c>
      <c r="U514" s="50">
        <v>1.0096514178534155</v>
      </c>
      <c r="V514" s="50">
        <v>0.93983587266578728</v>
      </c>
      <c r="W514" s="50">
        <v>0.78824896286289481</v>
      </c>
      <c r="X514" s="50">
        <v>0.78824896286289481</v>
      </c>
      <c r="Y514" s="50">
        <v>0.9830812192526901</v>
      </c>
      <c r="Z514" s="50">
        <v>0.9830812192526901</v>
      </c>
    </row>
    <row r="515" spans="19:26">
      <c r="S515" s="50">
        <v>0.96164480785256301</v>
      </c>
      <c r="T515" s="50">
        <v>0.94933300517823804</v>
      </c>
      <c r="U515" s="50">
        <v>0.91517435713407991</v>
      </c>
      <c r="V515" s="50">
        <v>0.94443445469606946</v>
      </c>
      <c r="W515" s="50">
        <v>0.75167853644318716</v>
      </c>
      <c r="X515" s="50">
        <v>0.75167853644318716</v>
      </c>
      <c r="Y515" s="50">
        <v>0.99184334103276017</v>
      </c>
      <c r="Z515" s="50">
        <v>0.99184334103276017</v>
      </c>
    </row>
    <row r="516" spans="19:26">
      <c r="S516" s="50">
        <v>0.96217835019401343</v>
      </c>
      <c r="T516" s="50">
        <v>0.95002336579603419</v>
      </c>
      <c r="U516" s="50">
        <v>0.9475021925451298</v>
      </c>
      <c r="V516" s="50">
        <v>0.85265238577797209</v>
      </c>
      <c r="W516" s="50">
        <v>0.72024449335510254</v>
      </c>
      <c r="X516" s="50">
        <v>0.72024449335510254</v>
      </c>
      <c r="Y516" s="50">
        <v>0.99533268753141846</v>
      </c>
      <c r="Z516" s="50">
        <v>0.99533268753141846</v>
      </c>
    </row>
    <row r="517" spans="19:26">
      <c r="S517" s="50">
        <v>0.96304642545664976</v>
      </c>
      <c r="T517" s="50">
        <v>0.95115931140285326</v>
      </c>
      <c r="U517" s="50">
        <v>0.9675763241407751</v>
      </c>
      <c r="V517" s="50">
        <v>0.89709916099333786</v>
      </c>
      <c r="W517" s="50">
        <v>0.73752517553810748</v>
      </c>
      <c r="X517" s="50">
        <v>0.73752517553810748</v>
      </c>
      <c r="Y517" s="50">
        <v>0.99821742412816405</v>
      </c>
      <c r="Z517" s="50">
        <v>0.99821742412816405</v>
      </c>
    </row>
    <row r="518" spans="19:26">
      <c r="S518" s="50">
        <v>0.9559098501049087</v>
      </c>
      <c r="T518" s="50">
        <v>0.94187695247690273</v>
      </c>
      <c r="U518" s="50">
        <v>0.8610488690553858</v>
      </c>
      <c r="V518" s="50">
        <v>0.9409020123054298</v>
      </c>
      <c r="W518" s="50">
        <v>0.79914556581778329</v>
      </c>
      <c r="X518" s="50">
        <v>0.79914556581778329</v>
      </c>
      <c r="Y518" s="50">
        <v>0.97156326309370178</v>
      </c>
      <c r="Z518" s="50">
        <v>0.97156326309370178</v>
      </c>
    </row>
    <row r="519" spans="19:26">
      <c r="S519" s="50">
        <v>0.95798547536639089</v>
      </c>
      <c r="T519" s="50">
        <v>0.94458075708257649</v>
      </c>
      <c r="U519" s="50">
        <v>0.97757499864624298</v>
      </c>
      <c r="V519" s="50">
        <v>0.76728018135876652</v>
      </c>
      <c r="W519" s="50">
        <v>0.83809057397626718</v>
      </c>
      <c r="X519" s="50">
        <v>0.83809057397626718</v>
      </c>
      <c r="Y519" s="50">
        <v>0.97663377698958853</v>
      </c>
      <c r="Z519" s="50">
        <v>0.97663377698958853</v>
      </c>
    </row>
    <row r="520" spans="19:26">
      <c r="S520" s="50">
        <v>0.96297367171103743</v>
      </c>
      <c r="T520" s="50">
        <v>0.95107410128174386</v>
      </c>
      <c r="U520" s="50">
        <v>0.94563256849926058</v>
      </c>
      <c r="V520" s="50">
        <v>1.1278263407098146</v>
      </c>
      <c r="W520" s="50">
        <v>0.80016632273909682</v>
      </c>
      <c r="X520" s="50">
        <v>0.80016632273909682</v>
      </c>
      <c r="Y520" s="50">
        <v>0.99537924783498943</v>
      </c>
      <c r="Z520" s="50">
        <v>0.99537924783498943</v>
      </c>
    </row>
    <row r="521" spans="19:26">
      <c r="S521" s="50">
        <v>0.96353945782073203</v>
      </c>
      <c r="T521" s="50">
        <v>0.95181447531341123</v>
      </c>
      <c r="U521" s="50">
        <v>1.1387927091937176</v>
      </c>
      <c r="V521" s="50">
        <v>0.92756715697442194</v>
      </c>
      <c r="W521" s="50">
        <v>0.81376667473580111</v>
      </c>
      <c r="X521" s="50">
        <v>0.81376667473580111</v>
      </c>
      <c r="Y521" s="50">
        <v>0.99727328286798422</v>
      </c>
      <c r="Z521" s="50">
        <v>0.99727328286798422</v>
      </c>
    </row>
    <row r="522" spans="19:26">
      <c r="S522" s="50">
        <v>0.9628757041959114</v>
      </c>
      <c r="T522" s="50">
        <v>0.95094279356396472</v>
      </c>
      <c r="U522" s="50">
        <v>1.0254046072615528</v>
      </c>
      <c r="V522" s="50">
        <v>0.9185255355729649</v>
      </c>
      <c r="W522" s="50">
        <v>0.77658008809634727</v>
      </c>
      <c r="X522" s="50">
        <v>0.77658008809634727</v>
      </c>
      <c r="Y522" s="50">
        <v>0.99585044199358819</v>
      </c>
      <c r="Z522" s="50">
        <v>0.99585044199358819</v>
      </c>
    </row>
    <row r="523" spans="19:26">
      <c r="S523" s="50">
        <v>0.95993806248513813</v>
      </c>
      <c r="T523" s="50">
        <v>0.94710951525883313</v>
      </c>
      <c r="U523" s="50">
        <v>1.0159050678523516</v>
      </c>
      <c r="V523" s="50">
        <v>0.84605362471163359</v>
      </c>
      <c r="W523" s="50">
        <v>0.75726675993414749</v>
      </c>
      <c r="X523" s="50">
        <v>0.75726675993414749</v>
      </c>
      <c r="Y523" s="50">
        <v>0.98529687095426022</v>
      </c>
      <c r="Z523" s="50">
        <v>0.98529687095426022</v>
      </c>
    </row>
    <row r="524" spans="19:26">
      <c r="S524" s="50">
        <v>0.96241661459087369</v>
      </c>
      <c r="T524" s="50">
        <v>0.95033768501568205</v>
      </c>
      <c r="U524" s="50">
        <v>0.98215491845010816</v>
      </c>
      <c r="V524" s="50">
        <v>1.0635912777609886</v>
      </c>
      <c r="W524" s="50">
        <v>0.73943876940602626</v>
      </c>
      <c r="X524" s="50">
        <v>0.73943876940602626</v>
      </c>
      <c r="Y524" s="50">
        <v>0.99546213739765255</v>
      </c>
      <c r="Z524" s="50">
        <v>0.99546213739765255</v>
      </c>
    </row>
    <row r="525" spans="19:26">
      <c r="S525" s="50">
        <v>0.94969807026112718</v>
      </c>
      <c r="T525" s="50">
        <v>0.93381583062085294</v>
      </c>
      <c r="U525" s="50">
        <v>0.89026686833616575</v>
      </c>
      <c r="V525" s="50">
        <v>0.95396512863136662</v>
      </c>
      <c r="W525" s="50">
        <v>0.75383652457853723</v>
      </c>
      <c r="X525" s="50">
        <v>0.75383652457853723</v>
      </c>
      <c r="Y525" s="50">
        <v>0.95772569731613844</v>
      </c>
      <c r="Z525" s="50">
        <v>0.95772569731613844</v>
      </c>
    </row>
    <row r="526" spans="19:26">
      <c r="S526" s="50">
        <v>0.96263823583801467</v>
      </c>
      <c r="T526" s="50">
        <v>0.95063938024108807</v>
      </c>
      <c r="U526" s="50">
        <v>0.96253083308119036</v>
      </c>
      <c r="V526" s="50">
        <v>1.0767303919740006</v>
      </c>
      <c r="W526" s="50">
        <v>0.82187305714764247</v>
      </c>
      <c r="X526" s="50">
        <v>0.82187305714764247</v>
      </c>
      <c r="Y526" s="50">
        <v>0.99327221324160686</v>
      </c>
      <c r="Z526" s="50">
        <v>0.99327221324160686</v>
      </c>
    </row>
    <row r="527" spans="19:26">
      <c r="S527" s="50">
        <v>0.96143919033581371</v>
      </c>
      <c r="T527" s="50">
        <v>0.94906671905595763</v>
      </c>
      <c r="U527" s="50">
        <v>1.0236610683619811</v>
      </c>
      <c r="V527" s="50">
        <v>1.1536474877295015</v>
      </c>
      <c r="W527" s="50">
        <v>0.76264682160117503</v>
      </c>
      <c r="X527" s="50">
        <v>0.76264682160117503</v>
      </c>
      <c r="Y527" s="50">
        <v>0.99062554060737407</v>
      </c>
      <c r="Z527" s="50">
        <v>0.99062554060737407</v>
      </c>
    </row>
    <row r="528" spans="19:26">
      <c r="S528" s="50">
        <v>0.96061739601958696</v>
      </c>
      <c r="T528" s="50">
        <v>0.94798819341524176</v>
      </c>
      <c r="U528" s="50">
        <v>1.0995022813293327</v>
      </c>
      <c r="V528" s="50">
        <v>1.0817796966130329</v>
      </c>
      <c r="W528" s="50">
        <v>0.7218955049986443</v>
      </c>
      <c r="X528" s="50">
        <v>0.7218955049986443</v>
      </c>
      <c r="Y528" s="50">
        <v>0.98910617994855654</v>
      </c>
      <c r="Z528" s="50">
        <v>0.98910617994855654</v>
      </c>
    </row>
    <row r="529" spans="19:26">
      <c r="S529" s="50">
        <v>0.94875688762280042</v>
      </c>
      <c r="T529" s="50">
        <v>0.93261017689085035</v>
      </c>
      <c r="U529" s="50">
        <v>0.85409907571953669</v>
      </c>
      <c r="V529" s="50">
        <v>1.0126491956413477</v>
      </c>
      <c r="W529" s="50">
        <v>0.81145073086980224</v>
      </c>
      <c r="X529" s="50">
        <v>0.81145073086980224</v>
      </c>
      <c r="Y529" s="50">
        <v>0.95479782511949829</v>
      </c>
      <c r="Z529" s="50">
        <v>0.95479782511949829</v>
      </c>
    </row>
    <row r="530" spans="19:26">
      <c r="S530" s="50">
        <v>0.96237642923260625</v>
      </c>
      <c r="T530" s="50">
        <v>0.95029994913673654</v>
      </c>
      <c r="U530" s="50">
        <v>0.88619242592635439</v>
      </c>
      <c r="V530" s="50">
        <v>0.9865033527916236</v>
      </c>
      <c r="W530" s="50">
        <v>0.83798143732560781</v>
      </c>
      <c r="X530" s="50">
        <v>0.83798143732560781</v>
      </c>
      <c r="Y530" s="50">
        <v>0.99173091749233022</v>
      </c>
      <c r="Z530" s="50">
        <v>0.99173091749233022</v>
      </c>
    </row>
    <row r="531" spans="19:26">
      <c r="S531" s="50">
        <v>0.96122261174904122</v>
      </c>
      <c r="T531" s="50">
        <v>0.94878656605673684</v>
      </c>
      <c r="U531" s="50">
        <v>0.95381260547838098</v>
      </c>
      <c r="V531" s="50">
        <v>0.95755906321305295</v>
      </c>
      <c r="W531" s="50">
        <v>0.77632048335747039</v>
      </c>
      <c r="X531" s="50">
        <v>0.77632048335747039</v>
      </c>
      <c r="Y531" s="50">
        <v>0.98930916960247417</v>
      </c>
      <c r="Z531" s="50">
        <v>0.98930916960247417</v>
      </c>
    </row>
    <row r="532" spans="19:26">
      <c r="S532" s="50">
        <v>0.96182247001295818</v>
      </c>
      <c r="T532" s="50">
        <v>0.94956625982582921</v>
      </c>
      <c r="U532" s="50">
        <v>0.83859604098996077</v>
      </c>
      <c r="V532" s="50">
        <v>1.0300669611775821</v>
      </c>
      <c r="W532" s="50">
        <v>0.76102243753624965</v>
      </c>
      <c r="X532" s="50">
        <v>0.76102243753624965</v>
      </c>
      <c r="Y532" s="50">
        <v>0.99217864308132631</v>
      </c>
      <c r="Z532" s="50">
        <v>0.99217864308132631</v>
      </c>
    </row>
    <row r="533" spans="19:26">
      <c r="S533" s="50">
        <v>0.9614160337112535</v>
      </c>
      <c r="T533" s="50">
        <v>0.94902180402358227</v>
      </c>
      <c r="U533" s="50">
        <v>1.0056498503493629</v>
      </c>
      <c r="V533" s="50">
        <v>1.0164242755669193</v>
      </c>
      <c r="W533" s="50">
        <v>0.68439438511925366</v>
      </c>
      <c r="X533" s="50">
        <v>0.68439438511925366</v>
      </c>
      <c r="Y533" s="50">
        <v>0.99394970130992233</v>
      </c>
      <c r="Z533" s="50">
        <v>0.99394970130992233</v>
      </c>
    </row>
    <row r="534" spans="19:26">
      <c r="S534" s="50">
        <v>0.95987810995120681</v>
      </c>
      <c r="T534" s="50">
        <v>0.94703074193336823</v>
      </c>
      <c r="U534" s="50">
        <v>0.95697325591073956</v>
      </c>
      <c r="V534" s="50">
        <v>0.83406470219291728</v>
      </c>
      <c r="W534" s="50">
        <v>0.75336546539361482</v>
      </c>
      <c r="X534" s="50">
        <v>0.75336546539361482</v>
      </c>
      <c r="Y534" s="50">
        <v>0.98522179374564012</v>
      </c>
      <c r="Z534" s="50">
        <v>0.98522179374564012</v>
      </c>
    </row>
    <row r="535" spans="19:26">
      <c r="S535" s="50">
        <v>0.96245218671955834</v>
      </c>
      <c r="T535" s="50">
        <v>0.95040008664785858</v>
      </c>
      <c r="U535" s="50">
        <v>0.87323526183259925</v>
      </c>
      <c r="V535" s="50">
        <v>0.99513410374859723</v>
      </c>
      <c r="W535" s="50">
        <v>0.84841839150482001</v>
      </c>
      <c r="X535" s="50">
        <v>0.84841839150482001</v>
      </c>
      <c r="Y535" s="50">
        <v>0.991715969437859</v>
      </c>
      <c r="Z535" s="50">
        <v>0.991715969437859</v>
      </c>
    </row>
    <row r="536" spans="19:26">
      <c r="S536" s="50">
        <v>0.96281504189680456</v>
      </c>
      <c r="T536" s="50">
        <v>0.95087346725648847</v>
      </c>
      <c r="U536" s="50">
        <v>1.0192185812435015</v>
      </c>
      <c r="V536" s="50">
        <v>0.9436749259207472</v>
      </c>
      <c r="W536" s="50">
        <v>0.84842732279268285</v>
      </c>
      <c r="X536" s="50">
        <v>0.84842732279268285</v>
      </c>
      <c r="Y536" s="50">
        <v>0.99315029057848958</v>
      </c>
      <c r="Z536" s="50">
        <v>0.99315029057848958</v>
      </c>
    </row>
    <row r="537" spans="19:26">
      <c r="S537" s="50">
        <v>0.95365562898205891</v>
      </c>
      <c r="T537" s="50">
        <v>0.93894078322906382</v>
      </c>
      <c r="U537" s="50">
        <v>0.83135708399975827</v>
      </c>
      <c r="V537" s="50">
        <v>0.88582200490768392</v>
      </c>
      <c r="W537" s="50">
        <v>0.74488924312011917</v>
      </c>
      <c r="X537" s="50">
        <v>0.74488924312011917</v>
      </c>
      <c r="Y537" s="50">
        <v>0.96696832025248847</v>
      </c>
      <c r="Z537" s="50">
        <v>0.96696832025248847</v>
      </c>
    </row>
    <row r="538" spans="19:26">
      <c r="S538" s="50">
        <v>0.95065207036873633</v>
      </c>
      <c r="T538" s="50">
        <v>0.93505721222383109</v>
      </c>
      <c r="U538" s="50">
        <v>0.98885449336706788</v>
      </c>
      <c r="V538" s="50">
        <v>0.98605992862554359</v>
      </c>
      <c r="W538" s="50">
        <v>0.78737054301381215</v>
      </c>
      <c r="X538" s="50">
        <v>0.78737054301381215</v>
      </c>
      <c r="Y538" s="50">
        <v>0.95907350198691343</v>
      </c>
      <c r="Z538" s="50">
        <v>0.95907350198691343</v>
      </c>
    </row>
    <row r="539" spans="19:26">
      <c r="S539" s="50">
        <v>0.95691111684341257</v>
      </c>
      <c r="T539" s="50">
        <v>0.94316994726232495</v>
      </c>
      <c r="U539" s="50">
        <v>0.95251731545431706</v>
      </c>
      <c r="V539" s="50">
        <v>0.99175736591263308</v>
      </c>
      <c r="W539" s="50">
        <v>0.75339809402747282</v>
      </c>
      <c r="X539" s="50">
        <v>0.75339809402747282</v>
      </c>
      <c r="Y539" s="50">
        <v>0.97563340876053206</v>
      </c>
      <c r="Z539" s="50">
        <v>0.97563340876053206</v>
      </c>
    </row>
    <row r="540" spans="19:26">
      <c r="S540" s="50">
        <v>0.96411249314351555</v>
      </c>
      <c r="T540" s="50">
        <v>0.95256472123484637</v>
      </c>
      <c r="U540" s="50">
        <v>0.99380957639369039</v>
      </c>
      <c r="V540" s="50">
        <v>0.9150618542109018</v>
      </c>
      <c r="W540" s="50">
        <v>0.82936114739808087</v>
      </c>
      <c r="X540" s="50">
        <v>0.82936114739808087</v>
      </c>
      <c r="Y540" s="50">
        <v>0.99920526311552282</v>
      </c>
      <c r="Z540" s="50">
        <v>0.99920526311552282</v>
      </c>
    </row>
    <row r="541" spans="19:26">
      <c r="S541" s="50">
        <v>0.96242018486228165</v>
      </c>
      <c r="T541" s="50">
        <v>0.95035760344871001</v>
      </c>
      <c r="U541" s="50">
        <v>0.91553360156293406</v>
      </c>
      <c r="V541" s="50">
        <v>0.84258473392192068</v>
      </c>
      <c r="W541" s="50">
        <v>0.84252527309786074</v>
      </c>
      <c r="X541" s="50">
        <v>0.84252527309786074</v>
      </c>
      <c r="Y541" s="50">
        <v>0.99176542305814341</v>
      </c>
      <c r="Z541" s="50">
        <v>0.99176542305814341</v>
      </c>
    </row>
    <row r="542" spans="19:26">
      <c r="S542" s="50">
        <v>0.9524950823939311</v>
      </c>
      <c r="T542" s="50">
        <v>0.93743372154735549</v>
      </c>
      <c r="U542" s="50">
        <v>0.93986392759073756</v>
      </c>
      <c r="V542" s="50">
        <v>1.0254890657920575</v>
      </c>
      <c r="W542" s="50">
        <v>0.73464698675122997</v>
      </c>
      <c r="X542" s="50">
        <v>0.73464698675122997</v>
      </c>
      <c r="Y542" s="50">
        <v>0.96438307042780502</v>
      </c>
      <c r="Z542" s="50">
        <v>0.96438307042780502</v>
      </c>
    </row>
    <row r="543" spans="19:26">
      <c r="S543" s="50">
        <v>0.96111570696309923</v>
      </c>
      <c r="T543" s="50">
        <v>0.94864834002424436</v>
      </c>
      <c r="U543" s="50">
        <v>1.0354478030045311</v>
      </c>
      <c r="V543" s="50">
        <v>1.1077144798897087</v>
      </c>
      <c r="W543" s="50">
        <v>0.78352327631076213</v>
      </c>
      <c r="X543" s="50">
        <v>0.78352327631076213</v>
      </c>
      <c r="Y543" s="50">
        <v>0.98866190450395164</v>
      </c>
      <c r="Z543" s="50">
        <v>0.98866190450395164</v>
      </c>
    </row>
    <row r="544" spans="19:26">
      <c r="S544" s="50">
        <v>0.95546464108310836</v>
      </c>
      <c r="T544" s="50">
        <v>0.94128799016963638</v>
      </c>
      <c r="U544" s="50">
        <v>1.0560527223813603</v>
      </c>
      <c r="V544" s="50">
        <v>1.1782468462159055</v>
      </c>
      <c r="W544" s="50">
        <v>0.74077775253659961</v>
      </c>
      <c r="X544" s="50">
        <v>0.74077775253659961</v>
      </c>
      <c r="Y544" s="50">
        <v>0.97185297628437839</v>
      </c>
      <c r="Z544" s="50">
        <v>0.97185297628437839</v>
      </c>
    </row>
    <row r="545" spans="19:26">
      <c r="S545" s="50">
        <v>0.95689114915076523</v>
      </c>
      <c r="T545" s="50">
        <v>0.94314579795663445</v>
      </c>
      <c r="U545" s="50">
        <v>1.007782105729498</v>
      </c>
      <c r="V545" s="50">
        <v>0.93498758239668978</v>
      </c>
      <c r="W545" s="50">
        <v>0.76316070581804729</v>
      </c>
      <c r="X545" s="50">
        <v>0.76316070581804729</v>
      </c>
      <c r="Y545" s="50">
        <v>0.9752918359195617</v>
      </c>
      <c r="Z545" s="50">
        <v>0.9752918359195617</v>
      </c>
    </row>
    <row r="546" spans="19:26">
      <c r="S546" s="50">
        <v>0.96334539823025844</v>
      </c>
      <c r="T546" s="50">
        <v>0.95155856930496163</v>
      </c>
      <c r="U546" s="50">
        <v>0.8404844054718309</v>
      </c>
      <c r="V546" s="50">
        <v>0.80502871870466586</v>
      </c>
      <c r="W546" s="50">
        <v>0.79509077871168932</v>
      </c>
      <c r="X546" s="50">
        <v>0.79509077871168932</v>
      </c>
      <c r="Y546" s="50">
        <v>0.99712589692689935</v>
      </c>
      <c r="Z546" s="50">
        <v>0.99712589692689935</v>
      </c>
    </row>
    <row r="547" spans="19:26">
      <c r="S547" s="50">
        <v>0.961887874785608</v>
      </c>
      <c r="T547" s="50">
        <v>0.94964672531330818</v>
      </c>
      <c r="U547" s="50">
        <v>0.89373760911464617</v>
      </c>
      <c r="V547" s="50">
        <v>0.96693925491895505</v>
      </c>
      <c r="W547" s="50">
        <v>0.73279819867533214</v>
      </c>
      <c r="X547" s="50">
        <v>0.73279819867533214</v>
      </c>
      <c r="Y547" s="50">
        <v>0.99358620424092603</v>
      </c>
      <c r="Z547" s="50">
        <v>0.99358620424092603</v>
      </c>
    </row>
    <row r="548" spans="19:26">
      <c r="S548" s="50">
        <v>0.96095419043570696</v>
      </c>
      <c r="T548" s="50">
        <v>0.94842742225130072</v>
      </c>
      <c r="U548" s="50">
        <v>0.90349683005108272</v>
      </c>
      <c r="V548" s="50">
        <v>0.91108626225074574</v>
      </c>
      <c r="W548" s="50">
        <v>0.72310386208096167</v>
      </c>
      <c r="X548" s="50">
        <v>0.72310386208096167</v>
      </c>
      <c r="Y548" s="50">
        <v>0.99033182977643996</v>
      </c>
      <c r="Z548" s="50">
        <v>0.99033182977643996</v>
      </c>
    </row>
    <row r="549" spans="19:26">
      <c r="S549" s="50">
        <v>0.96279093640128099</v>
      </c>
      <c r="T549" s="50">
        <v>0.95084032241353467</v>
      </c>
      <c r="U549" s="50">
        <v>1.005407403843886</v>
      </c>
      <c r="V549" s="50">
        <v>0.85473415711485123</v>
      </c>
      <c r="W549" s="50">
        <v>0.83494709418619162</v>
      </c>
      <c r="X549" s="50">
        <v>0.83494709418619162</v>
      </c>
      <c r="Y549" s="50">
        <v>0.99346767919156931</v>
      </c>
      <c r="Z549" s="50">
        <v>0.99346767919156931</v>
      </c>
    </row>
    <row r="550" spans="19:26">
      <c r="S550" s="50">
        <v>0.96325643499038383</v>
      </c>
      <c r="T550" s="50">
        <v>0.95145038471979893</v>
      </c>
      <c r="U550" s="50">
        <v>1.0183088846223729</v>
      </c>
      <c r="V550" s="50">
        <v>0.88206182040419823</v>
      </c>
      <c r="W550" s="50">
        <v>0.85608829734578584</v>
      </c>
      <c r="X550" s="50">
        <v>0.85608829734578584</v>
      </c>
      <c r="Y550" s="50">
        <v>0.99470639355765023</v>
      </c>
      <c r="Z550" s="50">
        <v>0.99470639355765023</v>
      </c>
    </row>
    <row r="551" spans="19:26">
      <c r="S551" s="50">
        <v>0.96286488391032932</v>
      </c>
      <c r="T551" s="50">
        <v>0.95093553047450985</v>
      </c>
      <c r="U551" s="50">
        <v>1.0311930459483138</v>
      </c>
      <c r="V551" s="50">
        <v>0.86979020508734561</v>
      </c>
      <c r="W551" s="50">
        <v>0.82507818229932495</v>
      </c>
      <c r="X551" s="50">
        <v>0.82507818229932495</v>
      </c>
      <c r="Y551" s="50">
        <v>0.9940820307868149</v>
      </c>
      <c r="Z551" s="50">
        <v>0.9940820307868149</v>
      </c>
    </row>
    <row r="552" spans="19:26">
      <c r="S552" s="50">
        <v>0.96399425641164871</v>
      </c>
      <c r="T552" s="50">
        <v>0.95240840251943693</v>
      </c>
      <c r="U552" s="50">
        <v>0.98346763044212226</v>
      </c>
      <c r="V552" s="50">
        <v>0.82987968481196828</v>
      </c>
      <c r="W552" s="50">
        <v>0.81451239881083126</v>
      </c>
      <c r="X552" s="50">
        <v>0.81451239881083126</v>
      </c>
      <c r="Y552" s="50">
        <v>0.99921525431676483</v>
      </c>
      <c r="Z552" s="50">
        <v>0.99921525431676483</v>
      </c>
    </row>
    <row r="553" spans="19:26">
      <c r="S553" s="50">
        <v>0.95617055008476626</v>
      </c>
      <c r="T553" s="50">
        <v>0.94220071291643726</v>
      </c>
      <c r="U553" s="50">
        <v>1.0659120001121871</v>
      </c>
      <c r="V553" s="50">
        <v>1.0568206380632732</v>
      </c>
      <c r="W553" s="50">
        <v>0.71991086142469962</v>
      </c>
      <c r="X553" s="50">
        <v>0.71991086142469962</v>
      </c>
      <c r="Y553" s="50">
        <v>0.97448906477890784</v>
      </c>
      <c r="Z553" s="50">
        <v>0.97448906477890784</v>
      </c>
    </row>
    <row r="554" spans="19:26">
      <c r="S554" s="50">
        <v>0.96042949694336655</v>
      </c>
      <c r="T554" s="50">
        <v>0.9477567370831993</v>
      </c>
      <c r="U554" s="50">
        <v>0.92058669053500675</v>
      </c>
      <c r="V554" s="50">
        <v>0.83930965129482904</v>
      </c>
      <c r="W554" s="50">
        <v>0.80084341388441393</v>
      </c>
      <c r="X554" s="50">
        <v>0.80084341388441393</v>
      </c>
      <c r="Y554" s="50">
        <v>0.985616626483098</v>
      </c>
      <c r="Z554" s="50">
        <v>0.985616626483098</v>
      </c>
    </row>
    <row r="555" spans="19:26">
      <c r="S555" s="50">
        <v>0.96275946645661037</v>
      </c>
      <c r="T555" s="50">
        <v>0.95079590165027894</v>
      </c>
      <c r="U555" s="50">
        <v>0.98931930941722301</v>
      </c>
      <c r="V555" s="50">
        <v>1.0629385174359194</v>
      </c>
      <c r="W555" s="50">
        <v>0.80967145255745421</v>
      </c>
      <c r="X555" s="50">
        <v>0.80967145255745421</v>
      </c>
      <c r="Y555" s="50">
        <v>0.99416785458600132</v>
      </c>
      <c r="Z555" s="50">
        <v>0.99416785458600132</v>
      </c>
    </row>
    <row r="556" spans="19:26">
      <c r="S556" s="50">
        <v>0.9631266479539663</v>
      </c>
      <c r="T556" s="50">
        <v>0.9512798258057571</v>
      </c>
      <c r="U556" s="50">
        <v>0.81450827082324961</v>
      </c>
      <c r="V556" s="50">
        <v>1.0400902191460855</v>
      </c>
      <c r="W556" s="50">
        <v>0.84636298377426689</v>
      </c>
      <c r="X556" s="50">
        <v>0.84636298377426689</v>
      </c>
      <c r="Y556" s="50">
        <v>0.99447234297335596</v>
      </c>
      <c r="Z556" s="50">
        <v>0.99447234297335596</v>
      </c>
    </row>
    <row r="557" spans="19:26">
      <c r="S557" s="50">
        <v>0.96216712655833381</v>
      </c>
      <c r="T557" s="50">
        <v>0.95002501287961727</v>
      </c>
      <c r="U557" s="50">
        <v>0.88982359269723188</v>
      </c>
      <c r="V557" s="50">
        <v>1.0186127673468746</v>
      </c>
      <c r="W557" s="50">
        <v>0.82325038144838736</v>
      </c>
      <c r="X557" s="50">
        <v>0.82325038144838736</v>
      </c>
      <c r="Y557" s="50">
        <v>0.99136866559951975</v>
      </c>
      <c r="Z557" s="50">
        <v>0.99136866559951975</v>
      </c>
    </row>
    <row r="558" spans="19:26">
      <c r="S558" s="50">
        <v>0.96343080795371383</v>
      </c>
      <c r="T558" s="50">
        <v>0.95166641496335502</v>
      </c>
      <c r="U558" s="50">
        <v>0.91582658788004367</v>
      </c>
      <c r="V558" s="50">
        <v>0.87876755292302766</v>
      </c>
      <c r="W558" s="50">
        <v>0.77028084772573768</v>
      </c>
      <c r="X558" s="50">
        <v>0.77028084772573768</v>
      </c>
      <c r="Y558" s="50">
        <v>0.99846626589894782</v>
      </c>
      <c r="Z558" s="50">
        <v>0.99846626589894782</v>
      </c>
    </row>
    <row r="559" spans="19:26">
      <c r="S559" s="50">
        <v>0.96016948336159669</v>
      </c>
      <c r="T559" s="50">
        <v>0.94742229393486044</v>
      </c>
      <c r="U559" s="50">
        <v>0.93241137354500525</v>
      </c>
      <c r="V559" s="50">
        <v>0.97142009745674529</v>
      </c>
      <c r="W559" s="50">
        <v>0.83051520772714593</v>
      </c>
      <c r="X559" s="50">
        <v>0.83051520772714593</v>
      </c>
      <c r="Y559" s="50">
        <v>0.98385883107859595</v>
      </c>
      <c r="Z559" s="50">
        <v>0.98385883107859595</v>
      </c>
    </row>
    <row r="560" spans="19:26">
      <c r="S560" s="50">
        <v>0.96330504499593361</v>
      </c>
      <c r="T560" s="50">
        <v>0.9515013484473499</v>
      </c>
      <c r="U560" s="50">
        <v>0.97668500201180919</v>
      </c>
      <c r="V560" s="50">
        <v>0.94916070850935252</v>
      </c>
      <c r="W560" s="50">
        <v>0.76458281700317876</v>
      </c>
      <c r="X560" s="50">
        <v>0.76458281700317876</v>
      </c>
      <c r="Y560" s="50">
        <v>0.99815715533602423</v>
      </c>
      <c r="Z560" s="50">
        <v>0.99815715533602423</v>
      </c>
    </row>
    <row r="561" spans="19:26">
      <c r="S561" s="50">
        <v>0.95762390953186383</v>
      </c>
      <c r="T561" s="50">
        <v>0.94411195849870444</v>
      </c>
      <c r="U561" s="50">
        <v>1.0000153504959555</v>
      </c>
      <c r="V561" s="50">
        <v>0.97202112774992211</v>
      </c>
      <c r="W561" s="50">
        <v>0.84796349605199872</v>
      </c>
      <c r="X561" s="50">
        <v>0.84796349605199872</v>
      </c>
      <c r="Y561" s="50">
        <v>0.97533020874624654</v>
      </c>
      <c r="Z561" s="50">
        <v>0.97533020874624654</v>
      </c>
    </row>
    <row r="562" spans="19:26">
      <c r="S562" s="50">
        <v>0.95963282470530731</v>
      </c>
      <c r="T562" s="50">
        <v>0.94671799245625488</v>
      </c>
      <c r="U562" s="50">
        <v>1.0264533683585737</v>
      </c>
      <c r="V562" s="50">
        <v>0.95456622961889948</v>
      </c>
      <c r="W562" s="50">
        <v>0.79380370280372292</v>
      </c>
      <c r="X562" s="50">
        <v>0.79380370280372292</v>
      </c>
      <c r="Y562" s="50">
        <v>0.98307023589200848</v>
      </c>
      <c r="Z562" s="50">
        <v>0.98307023589200848</v>
      </c>
    </row>
    <row r="563" spans="19:26">
      <c r="S563" s="50">
        <v>0.96302389418654677</v>
      </c>
      <c r="T563" s="50">
        <v>0.95114204719253836</v>
      </c>
      <c r="U563" s="50">
        <v>0.88698028517153471</v>
      </c>
      <c r="V563" s="50">
        <v>1.0769946317794434</v>
      </c>
      <c r="W563" s="50">
        <v>0.8176564961091678</v>
      </c>
      <c r="X563" s="50">
        <v>0.8176564961091678</v>
      </c>
      <c r="Y563" s="50">
        <v>0.99497832536231268</v>
      </c>
      <c r="Z563" s="50">
        <v>0.99497832536231268</v>
      </c>
    </row>
    <row r="564" spans="19:26">
      <c r="S564" s="50">
        <v>0.96073220474464405</v>
      </c>
      <c r="T564" s="50">
        <v>0.94813176665506183</v>
      </c>
      <c r="U564" s="50">
        <v>0.92569465448568267</v>
      </c>
      <c r="V564" s="50">
        <v>1.0640777403449106</v>
      </c>
      <c r="W564" s="50">
        <v>0.69184060781662293</v>
      </c>
      <c r="X564" s="50">
        <v>0.69184060781662293</v>
      </c>
      <c r="Y564" s="50">
        <v>0.99087611819944432</v>
      </c>
      <c r="Z564" s="50">
        <v>0.99087611819944432</v>
      </c>
    </row>
    <row r="565" spans="19:26">
      <c r="S565" s="50">
        <v>0.95310618603207409</v>
      </c>
      <c r="T565" s="50">
        <v>0.93823375533531006</v>
      </c>
      <c r="U565" s="50">
        <v>0.88413931160396564</v>
      </c>
      <c r="V565" s="50">
        <v>0.846484595436647</v>
      </c>
      <c r="W565" s="50">
        <v>0.77275294831888308</v>
      </c>
      <c r="X565" s="50">
        <v>0.77275294831888308</v>
      </c>
      <c r="Y565" s="50">
        <v>0.96494608677139526</v>
      </c>
      <c r="Z565" s="50">
        <v>0.96494608677139526</v>
      </c>
    </row>
    <row r="566" spans="19:26">
      <c r="S566" s="50">
        <v>0.96049096702129388</v>
      </c>
      <c r="T566" s="50">
        <v>0.94784477997715377</v>
      </c>
      <c r="U566" s="50">
        <v>0.98770413451108663</v>
      </c>
      <c r="V566" s="50">
        <v>0.9439686673067752</v>
      </c>
      <c r="W566" s="50">
        <v>0.85862235591669622</v>
      </c>
      <c r="X566" s="50">
        <v>0.85862235591669622</v>
      </c>
      <c r="Y566" s="50">
        <v>0.98423205464415031</v>
      </c>
      <c r="Z566" s="50">
        <v>0.98423205464415031</v>
      </c>
    </row>
    <row r="567" spans="19:26">
      <c r="S567" s="50">
        <v>0.96110642094304988</v>
      </c>
      <c r="T567" s="50">
        <v>0.94864073138626515</v>
      </c>
      <c r="U567" s="50">
        <v>0.91711946790674004</v>
      </c>
      <c r="V567" s="50">
        <v>1.0356702278819061</v>
      </c>
      <c r="W567" s="50">
        <v>0.81379581776690157</v>
      </c>
      <c r="X567" s="50">
        <v>0.81379581776690157</v>
      </c>
      <c r="Y567" s="50">
        <v>0.98765903384435438</v>
      </c>
      <c r="Z567" s="50">
        <v>0.98765903384435438</v>
      </c>
    </row>
    <row r="568" spans="19:26">
      <c r="S568" s="50">
        <v>0.94524393191743117</v>
      </c>
      <c r="T568" s="50">
        <v>0.92804331493374981</v>
      </c>
      <c r="U568" s="50">
        <v>0.96250002474081375</v>
      </c>
      <c r="V568" s="50">
        <v>0.93128226936787795</v>
      </c>
      <c r="W568" s="50">
        <v>0.6834726366526539</v>
      </c>
      <c r="X568" s="50">
        <v>0.6834726366526539</v>
      </c>
      <c r="Y568" s="50">
        <v>0.95069268306728461</v>
      </c>
      <c r="Z568" s="50">
        <v>0.95069268306728461</v>
      </c>
    </row>
    <row r="569" spans="19:26">
      <c r="S569" s="50">
        <v>0.96135276057882169</v>
      </c>
      <c r="T569" s="50">
        <v>0.94895832991998574</v>
      </c>
      <c r="U569" s="50">
        <v>1.0839997063320856</v>
      </c>
      <c r="V569" s="50">
        <v>0.87139310041768714</v>
      </c>
      <c r="W569" s="50">
        <v>0.78984202173092344</v>
      </c>
      <c r="X569" s="50">
        <v>0.78984202173092344</v>
      </c>
      <c r="Y569" s="50">
        <v>0.98933660277109203</v>
      </c>
      <c r="Z569" s="50">
        <v>0.98933660277109203</v>
      </c>
    </row>
    <row r="570" spans="19:26">
      <c r="S570" s="50">
        <v>0.95913606118444594</v>
      </c>
      <c r="T570" s="50">
        <v>0.94606597651017932</v>
      </c>
      <c r="U570" s="50">
        <v>0.95647737189158499</v>
      </c>
      <c r="V570" s="50">
        <v>0.95443082342182195</v>
      </c>
      <c r="W570" s="50">
        <v>0.76210302519539586</v>
      </c>
      <c r="X570" s="50">
        <v>0.76210302519539586</v>
      </c>
      <c r="Y570" s="50">
        <v>0.98238111716715482</v>
      </c>
      <c r="Z570" s="50">
        <v>0.98238111716715482</v>
      </c>
    </row>
    <row r="571" spans="19:26">
      <c r="S571" s="50">
        <v>0.9569723534058806</v>
      </c>
      <c r="T571" s="50">
        <v>0.94324301535039301</v>
      </c>
      <c r="U571" s="50">
        <v>0.80584447572074436</v>
      </c>
      <c r="V571" s="50">
        <v>0.7254519238777849</v>
      </c>
      <c r="W571" s="50">
        <v>0.72042914491242516</v>
      </c>
      <c r="X571" s="50">
        <v>0.72042914491242516</v>
      </c>
      <c r="Y571" s="50">
        <v>0.97685544025626803</v>
      </c>
      <c r="Z571" s="50">
        <v>0.97685544025626803</v>
      </c>
    </row>
    <row r="572" spans="19:26">
      <c r="S572" s="50">
        <v>0.95400656723846089</v>
      </c>
      <c r="T572" s="50">
        <v>0.93941647979141985</v>
      </c>
      <c r="U572" s="50">
        <v>1.0046517390018661</v>
      </c>
      <c r="V572" s="50">
        <v>1.0252380024853776</v>
      </c>
      <c r="W572" s="50">
        <v>0.86366521396658658</v>
      </c>
      <c r="X572" s="50">
        <v>0.86366521396658658</v>
      </c>
      <c r="Y572" s="50">
        <v>0.96533255658184947</v>
      </c>
      <c r="Z572" s="50">
        <v>0.96533255658184947</v>
      </c>
    </row>
    <row r="573" spans="19:26">
      <c r="S573" s="50">
        <v>0.95602337784255076</v>
      </c>
      <c r="T573" s="50">
        <v>0.94202086515058681</v>
      </c>
      <c r="U573" s="50">
        <v>0.91552708195046362</v>
      </c>
      <c r="V573" s="50">
        <v>0.94045903913727591</v>
      </c>
      <c r="W573" s="50">
        <v>0.77840342148960107</v>
      </c>
      <c r="X573" s="50">
        <v>0.77840342148960107</v>
      </c>
      <c r="Y573" s="50">
        <v>0.97238876946162267</v>
      </c>
      <c r="Z573" s="50">
        <v>0.97238876946162267</v>
      </c>
    </row>
    <row r="574" spans="19:26">
      <c r="S574" s="50">
        <v>0.96364947321555205</v>
      </c>
      <c r="T574" s="50">
        <v>0.95196125698735634</v>
      </c>
      <c r="U574" s="50">
        <v>0.95761133135238963</v>
      </c>
      <c r="V574" s="50">
        <v>0.98098924123352249</v>
      </c>
      <c r="W574" s="50">
        <v>0.83828091205433508</v>
      </c>
      <c r="X574" s="50">
        <v>0.83828091205433508</v>
      </c>
      <c r="Y574" s="50">
        <v>0.9969051855234996</v>
      </c>
      <c r="Z574" s="50">
        <v>0.9969051855234996</v>
      </c>
    </row>
    <row r="575" spans="19:26">
      <c r="S575" s="50">
        <v>0.95642617138894848</v>
      </c>
      <c r="T575" s="50">
        <v>0.94253818551221868</v>
      </c>
      <c r="U575" s="50">
        <v>0.85664682186914021</v>
      </c>
      <c r="V575" s="50">
        <v>0.89342406558221144</v>
      </c>
      <c r="W575" s="50">
        <v>0.74584713471453601</v>
      </c>
      <c r="X575" s="50">
        <v>0.74584713471453601</v>
      </c>
      <c r="Y575" s="50">
        <v>0.97443189629666027</v>
      </c>
      <c r="Z575" s="50">
        <v>0.97443189629666027</v>
      </c>
    </row>
    <row r="576" spans="19:26">
      <c r="S576" s="50">
        <v>0.96265924494591226</v>
      </c>
      <c r="T576" s="50">
        <v>0.95065168678254863</v>
      </c>
      <c r="U576" s="50">
        <v>0.96415256000306315</v>
      </c>
      <c r="V576" s="50">
        <v>0.90490970269036386</v>
      </c>
      <c r="W576" s="50">
        <v>0.72465778337260844</v>
      </c>
      <c r="X576" s="50">
        <v>0.72465778337260844</v>
      </c>
      <c r="Y576" s="50">
        <v>0.99714825455709688</v>
      </c>
      <c r="Z576" s="50">
        <v>0.99714825455709688</v>
      </c>
    </row>
    <row r="577" spans="19:26">
      <c r="S577" s="50">
        <v>0.95338369212019258</v>
      </c>
      <c r="T577" s="50">
        <v>0.93859016615329594</v>
      </c>
      <c r="U577" s="50">
        <v>1.0765684852060835</v>
      </c>
      <c r="V577" s="50">
        <v>1.0930413879598107</v>
      </c>
      <c r="W577" s="50">
        <v>0.75517502986288132</v>
      </c>
      <c r="X577" s="50">
        <v>0.75517502986288132</v>
      </c>
      <c r="Y577" s="50">
        <v>0.96603416341897985</v>
      </c>
      <c r="Z577" s="50">
        <v>0.96603416341897985</v>
      </c>
    </row>
    <row r="578" spans="19:26">
      <c r="S578" s="50">
        <v>0.96361413318992561</v>
      </c>
      <c r="T578" s="50">
        <v>0.95192112251549421</v>
      </c>
      <c r="U578" s="50">
        <v>0.8683204578124547</v>
      </c>
      <c r="V578" s="50">
        <v>0.96177936796138441</v>
      </c>
      <c r="W578" s="50">
        <v>0.89017067315068066</v>
      </c>
      <c r="X578" s="50">
        <v>0.89017067315068066</v>
      </c>
      <c r="Y578" s="50">
        <v>0.99519170967632276</v>
      </c>
      <c r="Z578" s="50">
        <v>0.99519170967632276</v>
      </c>
    </row>
    <row r="579" spans="19:26">
      <c r="S579" s="50">
        <v>0.96204322412579713</v>
      </c>
      <c r="T579" s="50">
        <v>0.94983674727294543</v>
      </c>
      <c r="U579" s="50">
        <v>0.99762068636493395</v>
      </c>
      <c r="V579" s="50">
        <v>0.82915974062598041</v>
      </c>
      <c r="W579" s="50">
        <v>0.66964978420354293</v>
      </c>
      <c r="X579" s="50">
        <v>0.66964978420354293</v>
      </c>
      <c r="Y579" s="50">
        <v>0.99735880488750372</v>
      </c>
      <c r="Z579" s="50">
        <v>0.99735880488750372</v>
      </c>
    </row>
    <row r="580" spans="19:26">
      <c r="S580" s="50">
        <v>0.95681189019852142</v>
      </c>
      <c r="T580" s="50">
        <v>0.94305462430055231</v>
      </c>
      <c r="U580" s="50">
        <v>0.97846336877132678</v>
      </c>
      <c r="V580" s="50">
        <v>1.0097825629839408</v>
      </c>
      <c r="W580" s="50">
        <v>0.83554228695380173</v>
      </c>
      <c r="X580" s="50">
        <v>0.83554228695380173</v>
      </c>
      <c r="Y580" s="50">
        <v>0.97325366239794509</v>
      </c>
      <c r="Z580" s="50">
        <v>0.97325366239794509</v>
      </c>
    </row>
    <row r="581" spans="19:26">
      <c r="S581" s="50">
        <v>0.96141208494548291</v>
      </c>
      <c r="T581" s="50">
        <v>0.94901873924083702</v>
      </c>
      <c r="U581" s="50">
        <v>0.97232799454120911</v>
      </c>
      <c r="V581" s="50">
        <v>0.95992491010524728</v>
      </c>
      <c r="W581" s="50">
        <v>0.69427014351214467</v>
      </c>
      <c r="X581" s="50">
        <v>0.69427014351214467</v>
      </c>
      <c r="Y581" s="50">
        <v>0.99343917242776714</v>
      </c>
      <c r="Z581" s="50">
        <v>0.99343917242776714</v>
      </c>
    </row>
    <row r="582" spans="19:26">
      <c r="S582" s="50">
        <v>0.95322051948712971</v>
      </c>
      <c r="T582" s="50">
        <v>0.93838538155031781</v>
      </c>
      <c r="U582" s="50">
        <v>0.94648030518302984</v>
      </c>
      <c r="V582" s="50">
        <v>0.93598427270003404</v>
      </c>
      <c r="W582" s="50">
        <v>0.79095957122972771</v>
      </c>
      <c r="X582" s="50">
        <v>0.79095957122972771</v>
      </c>
      <c r="Y582" s="50">
        <v>0.9648247170689872</v>
      </c>
      <c r="Z582" s="50">
        <v>0.9648247170689872</v>
      </c>
    </row>
    <row r="583" spans="19:26">
      <c r="S583" s="50">
        <v>0.95859640127596646</v>
      </c>
      <c r="T583" s="50">
        <v>0.94536526526463993</v>
      </c>
      <c r="U583" s="50">
        <v>1.0168367650590815</v>
      </c>
      <c r="V583" s="50">
        <v>0.91358996366724954</v>
      </c>
      <c r="W583" s="50">
        <v>0.77203811797698674</v>
      </c>
      <c r="X583" s="50">
        <v>0.77203811797698674</v>
      </c>
      <c r="Y583" s="50">
        <v>0.98029528749220052</v>
      </c>
      <c r="Z583" s="50">
        <v>0.98029528749220052</v>
      </c>
    </row>
    <row r="584" spans="19:26">
      <c r="S584" s="50">
        <v>0.96415263290347031</v>
      </c>
      <c r="T584" s="50">
        <v>0.9526149890933796</v>
      </c>
      <c r="U584" s="50">
        <v>1.0208961771292173</v>
      </c>
      <c r="V584" s="50">
        <v>0.9215949727766044</v>
      </c>
      <c r="W584" s="50">
        <v>0.8126349832716997</v>
      </c>
      <c r="X584" s="50">
        <v>0.8126349832716997</v>
      </c>
      <c r="Y584" s="50">
        <v>0.99998407314050008</v>
      </c>
      <c r="Z584" s="50">
        <v>0.99998407314050008</v>
      </c>
    </row>
    <row r="585" spans="19:26">
      <c r="S585" s="50">
        <v>0.96154597765119365</v>
      </c>
      <c r="T585" s="50">
        <v>0.94920450116810495</v>
      </c>
      <c r="U585" s="50">
        <v>0.97680331899757089</v>
      </c>
      <c r="V585" s="50">
        <v>1.0437390764453327</v>
      </c>
      <c r="W585" s="50">
        <v>0.75388795992585267</v>
      </c>
      <c r="X585" s="50">
        <v>0.75388795992585267</v>
      </c>
      <c r="Y585" s="50">
        <v>0.99137113477829941</v>
      </c>
      <c r="Z585" s="50">
        <v>0.99137113477829941</v>
      </c>
    </row>
    <row r="586" spans="19:26">
      <c r="S586" s="50">
        <v>0.9601980558268407</v>
      </c>
      <c r="T586" s="50">
        <v>0.94745361603684097</v>
      </c>
      <c r="U586" s="50">
        <v>1.1289035147575035</v>
      </c>
      <c r="V586" s="50">
        <v>0.95654553317283686</v>
      </c>
      <c r="W586" s="50">
        <v>0.79029891615990511</v>
      </c>
      <c r="X586" s="50">
        <v>0.79029891615990511</v>
      </c>
      <c r="Y586" s="50">
        <v>0.98512582331013743</v>
      </c>
      <c r="Z586" s="50">
        <v>0.98512582331013743</v>
      </c>
    </row>
    <row r="587" spans="19:26">
      <c r="S587" s="50">
        <v>0.96309623385175069</v>
      </c>
      <c r="T587" s="50">
        <v>0.95122547768404864</v>
      </c>
      <c r="U587" s="50">
        <v>1.0611263132323865</v>
      </c>
      <c r="V587" s="50">
        <v>0.94800712454923131</v>
      </c>
      <c r="W587" s="50">
        <v>0.7442924090563382</v>
      </c>
      <c r="X587" s="50">
        <v>0.7442924090563382</v>
      </c>
      <c r="Y587" s="50">
        <v>0.99812825840037589</v>
      </c>
      <c r="Z587" s="50">
        <v>0.99812825840037589</v>
      </c>
    </row>
    <row r="588" spans="19:26">
      <c r="S588" s="50">
        <v>0.96359895102153204</v>
      </c>
      <c r="T588" s="50">
        <v>0.95189088112348519</v>
      </c>
      <c r="U588" s="50">
        <v>0.9164503434245147</v>
      </c>
      <c r="V588" s="50">
        <v>0.9065675293893819</v>
      </c>
      <c r="W588" s="50">
        <v>0.80441980042399264</v>
      </c>
      <c r="X588" s="50">
        <v>0.80441980042399264</v>
      </c>
      <c r="Y588" s="50">
        <v>0.9978654975595852</v>
      </c>
      <c r="Z588" s="50">
        <v>0.9978654975595852</v>
      </c>
    </row>
    <row r="589" spans="19:26">
      <c r="S589" s="50">
        <v>0.95630141825027537</v>
      </c>
      <c r="T589" s="50">
        <v>0.94237302543049395</v>
      </c>
      <c r="U589" s="50">
        <v>0.99342772398786505</v>
      </c>
      <c r="V589" s="50">
        <v>0.94733026367403228</v>
      </c>
      <c r="W589" s="50">
        <v>0.73065696493184518</v>
      </c>
      <c r="X589" s="50">
        <v>0.73065696493184518</v>
      </c>
      <c r="Y589" s="50">
        <v>0.97452958347208163</v>
      </c>
      <c r="Z589" s="50">
        <v>0.97452958347208163</v>
      </c>
    </row>
    <row r="590" spans="19:26">
      <c r="S590" s="50">
        <v>0.96036555196719875</v>
      </c>
      <c r="T590" s="50">
        <v>0.94766513587613532</v>
      </c>
      <c r="U590" s="50">
        <v>0.94626777516112415</v>
      </c>
      <c r="V590" s="50">
        <v>0.84003607869767138</v>
      </c>
      <c r="W590" s="50">
        <v>0.74981552545626884</v>
      </c>
      <c r="X590" s="50">
        <v>0.74981552545626884</v>
      </c>
      <c r="Y590" s="50">
        <v>0.98708970187400269</v>
      </c>
      <c r="Z590" s="50">
        <v>0.98708970187400269</v>
      </c>
    </row>
    <row r="591" spans="19:26">
      <c r="S591" s="50">
        <v>0.94204040267656242</v>
      </c>
      <c r="T591" s="50">
        <v>0.923931988522392</v>
      </c>
      <c r="U591" s="50">
        <v>1.0694626012659865</v>
      </c>
      <c r="V591" s="50">
        <v>0.91875481406101644</v>
      </c>
      <c r="W591" s="50">
        <v>0.74577200852850789</v>
      </c>
      <c r="X591" s="50">
        <v>0.74577200852850789</v>
      </c>
      <c r="Y591" s="50">
        <v>0.94433029422274117</v>
      </c>
      <c r="Z591" s="50">
        <v>0.94433029422274117</v>
      </c>
    </row>
    <row r="592" spans="19:26">
      <c r="S592" s="50">
        <v>0.95295401004241098</v>
      </c>
      <c r="T592" s="50">
        <v>0.93804050397639449</v>
      </c>
      <c r="U592" s="50">
        <v>0.97485697091595891</v>
      </c>
      <c r="V592" s="50">
        <v>0.89655276966022301</v>
      </c>
      <c r="W592" s="50">
        <v>0.79459964562105556</v>
      </c>
      <c r="X592" s="50">
        <v>0.79459964562105556</v>
      </c>
      <c r="Y592" s="50">
        <v>0.96411142892165191</v>
      </c>
      <c r="Z592" s="50">
        <v>0.96411142892165191</v>
      </c>
    </row>
    <row r="593" spans="19:26">
      <c r="S593" s="50">
        <v>0.96324720716167755</v>
      </c>
      <c r="T593" s="50">
        <v>0.95142493714633003</v>
      </c>
      <c r="U593" s="50">
        <v>0.87241648002768213</v>
      </c>
      <c r="V593" s="50">
        <v>0.92735585115712427</v>
      </c>
      <c r="W593" s="50">
        <v>0.75883772567660479</v>
      </c>
      <c r="X593" s="50">
        <v>0.75883772567660479</v>
      </c>
      <c r="Y593" s="50">
        <v>0.99814881542200296</v>
      </c>
      <c r="Z593" s="50">
        <v>0.99814881542200296</v>
      </c>
    </row>
    <row r="594" spans="19:26">
      <c r="S594" s="50">
        <v>0.95240330861607225</v>
      </c>
      <c r="T594" s="50">
        <v>0.93732740460173236</v>
      </c>
      <c r="U594" s="50">
        <v>0.99637222899836908</v>
      </c>
      <c r="V594" s="50">
        <v>0.98095784024377453</v>
      </c>
      <c r="W594" s="50">
        <v>0.79844409531988436</v>
      </c>
      <c r="X594" s="50">
        <v>0.79844409531988436</v>
      </c>
      <c r="Y594" s="50">
        <v>0.96274500868977697</v>
      </c>
      <c r="Z594" s="50">
        <v>0.96274500868977697</v>
      </c>
    </row>
    <row r="595" spans="19:26">
      <c r="S595" s="50">
        <v>0.96040428840457048</v>
      </c>
      <c r="T595" s="50">
        <v>0.94773262739671404</v>
      </c>
      <c r="U595" s="50">
        <v>0.99567065701586832</v>
      </c>
      <c r="V595" s="50">
        <v>0.92821458549204394</v>
      </c>
      <c r="W595" s="50">
        <v>0.86466315745977829</v>
      </c>
      <c r="X595" s="50">
        <v>0.86466315745977829</v>
      </c>
      <c r="Y595" s="50">
        <v>0.98378352158048243</v>
      </c>
      <c r="Z595" s="50">
        <v>0.98378352158048243</v>
      </c>
    </row>
    <row r="596" spans="19:26">
      <c r="S596" s="50">
        <v>0.96243471299371763</v>
      </c>
      <c r="T596" s="50">
        <v>0.95037803434561563</v>
      </c>
      <c r="U596" s="50">
        <v>0.91745780287272272</v>
      </c>
      <c r="V596" s="50">
        <v>0.84037157826001063</v>
      </c>
      <c r="W596" s="50">
        <v>0.85442709745725265</v>
      </c>
      <c r="X596" s="50">
        <v>0.85442709745725265</v>
      </c>
      <c r="Y596" s="50">
        <v>0.99147313229459821</v>
      </c>
      <c r="Z596" s="50">
        <v>0.99147313229459821</v>
      </c>
    </row>
    <row r="597" spans="19:26">
      <c r="S597" s="50">
        <v>0.95402389224308293</v>
      </c>
      <c r="T597" s="50">
        <v>0.93943648808854274</v>
      </c>
      <c r="U597" s="50">
        <v>0.94835386086209983</v>
      </c>
      <c r="V597" s="50">
        <v>1.0261142015104885</v>
      </c>
      <c r="W597" s="50">
        <v>0.84692743744576005</v>
      </c>
      <c r="X597" s="50">
        <v>0.84692743744576005</v>
      </c>
      <c r="Y597" s="50">
        <v>0.96567338145507142</v>
      </c>
      <c r="Z597" s="50">
        <v>0.96567338145507142</v>
      </c>
    </row>
    <row r="598" spans="19:26">
      <c r="S598" s="50">
        <v>0.96265808157540567</v>
      </c>
      <c r="T598" s="50">
        <v>0.95066876778125264</v>
      </c>
      <c r="U598" s="50">
        <v>1.0731720484398346</v>
      </c>
      <c r="V598" s="50">
        <v>0.94129310857945125</v>
      </c>
      <c r="W598" s="50">
        <v>0.84911075789687385</v>
      </c>
      <c r="X598" s="50">
        <v>0.84911075789687385</v>
      </c>
      <c r="Y598" s="50">
        <v>0.99250539382026082</v>
      </c>
      <c r="Z598" s="50">
        <v>0.99250539382026082</v>
      </c>
    </row>
    <row r="599" spans="19:26">
      <c r="S599" s="50">
        <v>0.96065350089913004</v>
      </c>
      <c r="T599" s="50">
        <v>0.94804559834878799</v>
      </c>
      <c r="U599" s="50">
        <v>0.9180525381724004</v>
      </c>
      <c r="V599" s="50">
        <v>0.85915283392062647</v>
      </c>
      <c r="W599" s="50">
        <v>0.78129956385985566</v>
      </c>
      <c r="X599" s="50">
        <v>0.78129956385985566</v>
      </c>
      <c r="Y599" s="50">
        <v>0.98703876002648339</v>
      </c>
      <c r="Z599" s="50">
        <v>0.98703876002648339</v>
      </c>
    </row>
    <row r="600" spans="19:26">
      <c r="S600" s="50">
        <v>0.95325591660842368</v>
      </c>
      <c r="T600" s="50">
        <v>0.93841795053088295</v>
      </c>
      <c r="U600" s="50">
        <v>0.99870716471892218</v>
      </c>
      <c r="V600" s="50">
        <v>1.1525622001271327</v>
      </c>
      <c r="W600" s="50">
        <v>0.72447093886522662</v>
      </c>
      <c r="X600" s="50">
        <v>0.72447093886522662</v>
      </c>
      <c r="Y600" s="50">
        <v>0.96650505618185123</v>
      </c>
      <c r="Z600" s="50">
        <v>0.96650505618185123</v>
      </c>
    </row>
    <row r="601" spans="19:26">
      <c r="S601" s="50">
        <v>0.96162303204564081</v>
      </c>
      <c r="T601" s="50">
        <v>0.94927973636727014</v>
      </c>
      <c r="U601" s="50">
        <v>0.94018899179944504</v>
      </c>
      <c r="V601" s="50">
        <v>1.0241432422928476</v>
      </c>
      <c r="W601" s="50">
        <v>0.63327094765172276</v>
      </c>
      <c r="X601" s="50">
        <v>0.63327094765172276</v>
      </c>
      <c r="Y601" s="50">
        <v>0.99778652721083261</v>
      </c>
      <c r="Z601" s="50">
        <v>0.99778652721083261</v>
      </c>
    </row>
    <row r="602" spans="19:26">
      <c r="S602" s="50">
        <v>0.96163194025264209</v>
      </c>
      <c r="T602" s="50">
        <v>0.94932085713896186</v>
      </c>
      <c r="U602" s="50">
        <v>0.9636455148029055</v>
      </c>
      <c r="V602" s="50">
        <v>1.0368697720896694</v>
      </c>
      <c r="W602" s="50">
        <v>0.78023605171274069</v>
      </c>
      <c r="X602" s="50">
        <v>0.78023605171274069</v>
      </c>
      <c r="Y602" s="50">
        <v>0.9907294477978319</v>
      </c>
      <c r="Z602" s="50">
        <v>0.9907294477978319</v>
      </c>
    </row>
    <row r="603" spans="19:26">
      <c r="S603" s="50">
        <v>0.96305639253643882</v>
      </c>
      <c r="T603" s="50">
        <v>0.95119340272331965</v>
      </c>
      <c r="U603" s="50">
        <v>0.96532268002591026</v>
      </c>
      <c r="V603" s="50">
        <v>0.89214302695527647</v>
      </c>
      <c r="W603" s="50">
        <v>0.8918112350932349</v>
      </c>
      <c r="X603" s="50">
        <v>0.8918112350932349</v>
      </c>
      <c r="Y603" s="50">
        <v>0.99288615322588558</v>
      </c>
      <c r="Z603" s="50">
        <v>0.99288615322588558</v>
      </c>
    </row>
    <row r="604" spans="19:26">
      <c r="S604" s="50">
        <v>0.96192963893380046</v>
      </c>
      <c r="T604" s="50">
        <v>0.94971463856901683</v>
      </c>
      <c r="U604" s="50">
        <v>0.9432611192829814</v>
      </c>
      <c r="V604" s="50">
        <v>1.0156599252207303</v>
      </c>
      <c r="W604" s="50">
        <v>0.81847476955079268</v>
      </c>
      <c r="X604" s="50">
        <v>0.81847476955079268</v>
      </c>
      <c r="Y604" s="50">
        <v>0.99060092602868832</v>
      </c>
      <c r="Z604" s="50">
        <v>0.99060092602868832</v>
      </c>
    </row>
    <row r="605" spans="19:26">
      <c r="S605" s="50">
        <v>0.95167258465235127</v>
      </c>
      <c r="T605" s="50">
        <v>0.93636011675601727</v>
      </c>
      <c r="U605" s="50">
        <v>0.96328997095854196</v>
      </c>
      <c r="V605" s="50">
        <v>0.88654037531553853</v>
      </c>
      <c r="W605" s="50">
        <v>0.70166547537848856</v>
      </c>
      <c r="X605" s="50">
        <v>0.70166547537848856</v>
      </c>
      <c r="Y605" s="50">
        <v>0.96330555889826719</v>
      </c>
      <c r="Z605" s="50">
        <v>0.96330555889826719</v>
      </c>
    </row>
    <row r="606" spans="19:26">
      <c r="S606" s="50">
        <v>0.95835483000529864</v>
      </c>
      <c r="T606" s="50">
        <v>0.94504752213215037</v>
      </c>
      <c r="U606" s="50">
        <v>0.86345503126751855</v>
      </c>
      <c r="V606" s="50">
        <v>1.0221791627754024</v>
      </c>
      <c r="W606" s="50">
        <v>0.75283298308622781</v>
      </c>
      <c r="X606" s="50">
        <v>0.75283298308622781</v>
      </c>
      <c r="Y606" s="50">
        <v>0.98011476303785539</v>
      </c>
      <c r="Z606" s="50">
        <v>0.98011476303785539</v>
      </c>
    </row>
    <row r="607" spans="19:26">
      <c r="S607" s="50">
        <v>0.95338456603145749</v>
      </c>
      <c r="T607" s="50">
        <v>0.93860004454262858</v>
      </c>
      <c r="U607" s="50">
        <v>1.1921446629923049</v>
      </c>
      <c r="V607" s="50">
        <v>1.0247965587781473</v>
      </c>
      <c r="W607" s="50">
        <v>0.80195651436619086</v>
      </c>
      <c r="X607" s="50">
        <v>0.80195651436619086</v>
      </c>
      <c r="Y607" s="50">
        <v>0.96499094293939636</v>
      </c>
      <c r="Z607" s="50">
        <v>0.96499094293939636</v>
      </c>
    </row>
    <row r="608" spans="19:26">
      <c r="S608" s="50">
        <v>0.959972372506949</v>
      </c>
      <c r="T608" s="50">
        <v>0.94714079218940239</v>
      </c>
      <c r="U608" s="50">
        <v>0.99702527331771551</v>
      </c>
      <c r="V608" s="50">
        <v>0.96067729500071086</v>
      </c>
      <c r="W608" s="50">
        <v>0.68845135248923284</v>
      </c>
      <c r="X608" s="50">
        <v>0.68845135248923284</v>
      </c>
      <c r="Y608" s="50">
        <v>0.98816351523101098</v>
      </c>
      <c r="Z608" s="50">
        <v>0.98816351523101098</v>
      </c>
    </row>
    <row r="609" spans="19:26">
      <c r="S609" s="50">
        <v>0.94002292450402469</v>
      </c>
      <c r="T609" s="50">
        <v>0.9213601675557358</v>
      </c>
      <c r="U609" s="50">
        <v>0.94255027922516388</v>
      </c>
      <c r="V609" s="50">
        <v>0.80620476666471119</v>
      </c>
      <c r="W609" s="50">
        <v>0.85074756030387377</v>
      </c>
      <c r="X609" s="50">
        <v>0.85074756030387377</v>
      </c>
      <c r="Y609" s="50">
        <v>0.94017403776109854</v>
      </c>
      <c r="Z609" s="50">
        <v>0.94017403776109854</v>
      </c>
    </row>
    <row r="610" spans="19:26">
      <c r="S610" s="50">
        <v>0.95838750833324515</v>
      </c>
      <c r="T610" s="50">
        <v>0.94509295513487068</v>
      </c>
      <c r="U610" s="50">
        <v>0.91881875859426176</v>
      </c>
      <c r="V610" s="50">
        <v>0.81472220535222073</v>
      </c>
      <c r="W610" s="50">
        <v>0.76921797184955409</v>
      </c>
      <c r="X610" s="50">
        <v>0.76921797184955409</v>
      </c>
      <c r="Y610" s="50">
        <v>0.97970954640939478</v>
      </c>
      <c r="Z610" s="50">
        <v>0.97970954640939478</v>
      </c>
    </row>
    <row r="611" spans="19:26">
      <c r="S611" s="50">
        <v>0.96143109819519179</v>
      </c>
      <c r="T611" s="50">
        <v>0.94905756565459376</v>
      </c>
      <c r="U611" s="50">
        <v>0.91885343721315593</v>
      </c>
      <c r="V611" s="50">
        <v>0.9081632882842654</v>
      </c>
      <c r="W611" s="50">
        <v>0.77125173893060373</v>
      </c>
      <c r="X611" s="50">
        <v>0.77125173893060373</v>
      </c>
      <c r="Y611" s="50">
        <v>0.99027942586114281</v>
      </c>
      <c r="Z611" s="50">
        <v>0.99027942586114281</v>
      </c>
    </row>
    <row r="612" spans="19:26">
      <c r="S612" s="50">
        <v>0.96331011779369524</v>
      </c>
      <c r="T612" s="50">
        <v>0.9515146380502596</v>
      </c>
      <c r="U612" s="50">
        <v>0.76615228750224684</v>
      </c>
      <c r="V612" s="50">
        <v>1.0454574002628609</v>
      </c>
      <c r="W612" s="50">
        <v>0.81038099427530086</v>
      </c>
      <c r="X612" s="50">
        <v>0.81038099427530086</v>
      </c>
      <c r="Y612" s="50">
        <v>0.99642117612324022</v>
      </c>
      <c r="Z612" s="50">
        <v>0.99642117612324022</v>
      </c>
    </row>
    <row r="613" spans="19:26">
      <c r="S613" s="50">
        <v>0.96209069054212437</v>
      </c>
      <c r="T613" s="50">
        <v>0.94991140483424741</v>
      </c>
      <c r="U613" s="50">
        <v>1.0628289044215915</v>
      </c>
      <c r="V613" s="50">
        <v>1.0323355415804107</v>
      </c>
      <c r="W613" s="50">
        <v>0.73343713662121235</v>
      </c>
      <c r="X613" s="50">
        <v>0.73343713662121235</v>
      </c>
      <c r="Y613" s="50">
        <v>0.99438123333539474</v>
      </c>
      <c r="Z613" s="50">
        <v>0.99438123333539474</v>
      </c>
    </row>
    <row r="614" spans="19:26">
      <c r="S614" s="50">
        <v>0.95448575250200085</v>
      </c>
      <c r="T614" s="50">
        <v>0.94002641850241953</v>
      </c>
      <c r="U614" s="50">
        <v>0.94322206542308396</v>
      </c>
      <c r="V614" s="50">
        <v>0.91396010320951926</v>
      </c>
      <c r="W614" s="50">
        <v>0.78986031412116875</v>
      </c>
      <c r="X614" s="50">
        <v>0.78986031412116875</v>
      </c>
      <c r="Y614" s="50">
        <v>0.96799451033312434</v>
      </c>
      <c r="Z614" s="50">
        <v>0.96799451033312434</v>
      </c>
    </row>
    <row r="615" spans="19:26">
      <c r="S615" s="50">
        <v>0.96382463145001451</v>
      </c>
      <c r="T615" s="50">
        <v>0.95219240883470846</v>
      </c>
      <c r="U615" s="50">
        <v>0.94846528437621602</v>
      </c>
      <c r="V615" s="50">
        <v>0.95729899984813926</v>
      </c>
      <c r="W615" s="50">
        <v>0.85883841819802598</v>
      </c>
      <c r="X615" s="50">
        <v>0.85883841819802598</v>
      </c>
      <c r="Y615" s="50">
        <v>0.99699219444924803</v>
      </c>
      <c r="Z615" s="50">
        <v>0.99699219444924803</v>
      </c>
    </row>
    <row r="616" spans="19:26">
      <c r="S616" s="50">
        <v>0.96198585619340815</v>
      </c>
      <c r="T616" s="50">
        <v>0.94978255158227387</v>
      </c>
      <c r="U616" s="50">
        <v>0.93154249220036722</v>
      </c>
      <c r="V616" s="50">
        <v>0.98727127937627923</v>
      </c>
      <c r="W616" s="50">
        <v>0.78120338942346235</v>
      </c>
      <c r="X616" s="50">
        <v>0.78120338942346235</v>
      </c>
      <c r="Y616" s="50">
        <v>0.99207213874681432</v>
      </c>
      <c r="Z616" s="50">
        <v>0.99207213874681432</v>
      </c>
    </row>
    <row r="617" spans="19:26">
      <c r="S617" s="50">
        <v>0.96376575625161354</v>
      </c>
      <c r="T617" s="50">
        <v>0.95210515682813579</v>
      </c>
      <c r="U617" s="50">
        <v>0.91080041759359454</v>
      </c>
      <c r="V617" s="50">
        <v>0.88780629087697804</v>
      </c>
      <c r="W617" s="50">
        <v>0.77963112370919618</v>
      </c>
      <c r="X617" s="50">
        <v>0.77963112370919618</v>
      </c>
      <c r="Y617" s="50">
        <v>0.9995511464968293</v>
      </c>
      <c r="Z617" s="50">
        <v>0.9995511464968293</v>
      </c>
    </row>
    <row r="618" spans="19:26">
      <c r="S618" s="50">
        <v>0.95907034023359095</v>
      </c>
      <c r="T618" s="50">
        <v>0.94598353227978971</v>
      </c>
      <c r="U618" s="50">
        <v>0.9585333526128702</v>
      </c>
      <c r="V618" s="50">
        <v>0.95717449393171938</v>
      </c>
      <c r="W618" s="50">
        <v>0.78048603711781162</v>
      </c>
      <c r="X618" s="50">
        <v>0.78048603711781162</v>
      </c>
      <c r="Y618" s="50">
        <v>0.98158765411822446</v>
      </c>
      <c r="Z618" s="50">
        <v>0.98158765411822446</v>
      </c>
    </row>
    <row r="619" spans="19:26">
      <c r="S619" s="50">
        <v>0.95619618424957376</v>
      </c>
      <c r="T619" s="50">
        <v>0.94224946176375246</v>
      </c>
      <c r="U619" s="50">
        <v>0.9041576136390802</v>
      </c>
      <c r="V619" s="50">
        <v>1.0004070097022599</v>
      </c>
      <c r="W619" s="50">
        <v>0.80246839698852301</v>
      </c>
      <c r="X619" s="50">
        <v>0.80246839698852301</v>
      </c>
      <c r="Y619" s="50">
        <v>0.97227740858771716</v>
      </c>
      <c r="Z619" s="50">
        <v>0.97227740858771716</v>
      </c>
    </row>
    <row r="620" spans="19:26">
      <c r="S620" s="50">
        <v>0.96276370126873689</v>
      </c>
      <c r="T620" s="50">
        <v>0.95078425220878959</v>
      </c>
      <c r="U620" s="50">
        <v>0.95359614846622698</v>
      </c>
      <c r="V620" s="50">
        <v>0.89918135448218695</v>
      </c>
      <c r="W620" s="50">
        <v>0.70451738248963791</v>
      </c>
      <c r="X620" s="50">
        <v>0.70451738248963791</v>
      </c>
      <c r="Y620" s="50">
        <v>0.99858438899069446</v>
      </c>
      <c r="Z620" s="50">
        <v>0.99858438899069446</v>
      </c>
    </row>
    <row r="621" spans="19:26">
      <c r="S621" s="50">
        <v>0.96310990099156357</v>
      </c>
      <c r="T621" s="50">
        <v>0.95125454214352534</v>
      </c>
      <c r="U621" s="50">
        <v>0.84522164631760732</v>
      </c>
      <c r="V621" s="50">
        <v>0.84876661483988036</v>
      </c>
      <c r="W621" s="50">
        <v>0.81953235805230951</v>
      </c>
      <c r="X621" s="50">
        <v>0.81953235805230951</v>
      </c>
      <c r="Y621" s="50">
        <v>0.99526982544914944</v>
      </c>
      <c r="Z621" s="50">
        <v>0.99526982544914944</v>
      </c>
    </row>
    <row r="622" spans="19:26">
      <c r="S622" s="50">
        <v>0.96076268379366148</v>
      </c>
      <c r="T622" s="50">
        <v>0.94819144930690025</v>
      </c>
      <c r="U622" s="50">
        <v>0.8540164932145069</v>
      </c>
      <c r="V622" s="50">
        <v>0.90358094954639323</v>
      </c>
      <c r="W622" s="50">
        <v>0.80473903793475299</v>
      </c>
      <c r="X622" s="50">
        <v>0.80473903793475299</v>
      </c>
      <c r="Y622" s="50">
        <v>0.98668703243264011</v>
      </c>
      <c r="Z622" s="50">
        <v>0.98668703243264011</v>
      </c>
    </row>
    <row r="623" spans="19:26">
      <c r="S623" s="50">
        <v>0.96071504299494104</v>
      </c>
      <c r="T623" s="50">
        <v>0.94813531159152853</v>
      </c>
      <c r="U623" s="50">
        <v>1.0150867943281348</v>
      </c>
      <c r="V623" s="50">
        <v>0.8837587239823026</v>
      </c>
      <c r="W623" s="50">
        <v>0.84772405845975496</v>
      </c>
      <c r="X623" s="50">
        <v>0.84772405845975496</v>
      </c>
      <c r="Y623" s="50">
        <v>0.98529426662035824</v>
      </c>
      <c r="Z623" s="50">
        <v>0.98529426662035824</v>
      </c>
    </row>
    <row r="624" spans="19:26">
      <c r="S624" s="50">
        <v>0.96093409404567154</v>
      </c>
      <c r="T624" s="50">
        <v>0.94839820131651342</v>
      </c>
      <c r="U624" s="50">
        <v>1.0500817231348236</v>
      </c>
      <c r="V624" s="50">
        <v>1.056609224320378</v>
      </c>
      <c r="W624" s="50">
        <v>0.70759121550655968</v>
      </c>
      <c r="X624" s="50">
        <v>0.70759121550655968</v>
      </c>
      <c r="Y624" s="50">
        <v>0.99092944252708537</v>
      </c>
      <c r="Z624" s="50">
        <v>0.99092944252708537</v>
      </c>
    </row>
    <row r="625" spans="19:26">
      <c r="S625" s="50">
        <v>0.96455239893353761</v>
      </c>
      <c r="T625" s="50">
        <v>0.95314383544902848</v>
      </c>
      <c r="U625" s="50">
        <v>0.98336624915595439</v>
      </c>
      <c r="V625" s="50">
        <v>0.98353907590585898</v>
      </c>
      <c r="W625" s="50">
        <v>0.86788012262627601</v>
      </c>
      <c r="X625" s="50">
        <v>0.86788012262627601</v>
      </c>
      <c r="Y625" s="50">
        <v>0.99986661207732586</v>
      </c>
      <c r="Z625" s="50">
        <v>0.99986661207732586</v>
      </c>
    </row>
    <row r="626" spans="19:26">
      <c r="S626" s="50">
        <v>0.96044966374349439</v>
      </c>
      <c r="T626" s="50">
        <v>0.94778648114806319</v>
      </c>
      <c r="U626" s="50">
        <v>0.97666729936332153</v>
      </c>
      <c r="V626" s="50">
        <v>0.97397230857907724</v>
      </c>
      <c r="W626" s="50">
        <v>0.8248443091852109</v>
      </c>
      <c r="X626" s="50">
        <v>0.8248443091852109</v>
      </c>
      <c r="Y626" s="50">
        <v>0.98498627766906566</v>
      </c>
      <c r="Z626" s="50">
        <v>0.98498627766906566</v>
      </c>
    </row>
    <row r="627" spans="19:26">
      <c r="S627" s="50">
        <v>0.96232423344018148</v>
      </c>
      <c r="T627" s="50">
        <v>0.95021938382557514</v>
      </c>
      <c r="U627" s="50">
        <v>0.96108674417692019</v>
      </c>
      <c r="V627" s="50">
        <v>1.0667902746819637</v>
      </c>
      <c r="W627" s="50">
        <v>0.7525850984098873</v>
      </c>
      <c r="X627" s="50">
        <v>0.7525850984098873</v>
      </c>
      <c r="Y627" s="50">
        <v>0.9945275512736963</v>
      </c>
      <c r="Z627" s="50">
        <v>0.9945275512736963</v>
      </c>
    </row>
    <row r="628" spans="19:26">
      <c r="S628" s="50">
        <v>0.95300961221815084</v>
      </c>
      <c r="T628" s="50">
        <v>0.93809740499370675</v>
      </c>
      <c r="U628" s="50">
        <v>0.92804944898554953</v>
      </c>
      <c r="V628" s="50">
        <v>0.93187827041348215</v>
      </c>
      <c r="W628" s="50">
        <v>0.71945523629213426</v>
      </c>
      <c r="X628" s="50">
        <v>0.71945523629213426</v>
      </c>
      <c r="Y628" s="50">
        <v>0.96603036259003749</v>
      </c>
      <c r="Z628" s="50">
        <v>0.96603036259003749</v>
      </c>
    </row>
    <row r="629" spans="19:26">
      <c r="S629" s="50">
        <v>0.96131741568040263</v>
      </c>
      <c r="T629" s="50">
        <v>0.9489094452600455</v>
      </c>
      <c r="U629" s="50">
        <v>0.83761422953014697</v>
      </c>
      <c r="V629" s="50">
        <v>0.86665569464710868</v>
      </c>
      <c r="W629" s="50">
        <v>0.77184506980571965</v>
      </c>
      <c r="X629" s="50">
        <v>0.77184506980571965</v>
      </c>
      <c r="Y629" s="50">
        <v>0.98982526242777424</v>
      </c>
      <c r="Z629" s="50">
        <v>0.98982526242777424</v>
      </c>
    </row>
    <row r="630" spans="19:26">
      <c r="S630" s="50">
        <v>0.96098791947673634</v>
      </c>
      <c r="T630" s="50">
        <v>0.94848428199171209</v>
      </c>
      <c r="U630" s="50">
        <v>0.83104257050627006</v>
      </c>
      <c r="V630" s="50">
        <v>0.78059992289648916</v>
      </c>
      <c r="W630" s="50">
        <v>0.80000474443767555</v>
      </c>
      <c r="X630" s="50">
        <v>0.80000474443767555</v>
      </c>
      <c r="Y630" s="50">
        <v>0.98765206794636851</v>
      </c>
      <c r="Z630" s="50">
        <v>0.98765206794636851</v>
      </c>
    </row>
    <row r="631" spans="19:26">
      <c r="S631" s="50">
        <v>0.94056687080533674</v>
      </c>
      <c r="T631" s="50">
        <v>0.92203421308615607</v>
      </c>
      <c r="U631" s="50">
        <v>0.95003253077480121</v>
      </c>
      <c r="V631" s="50">
        <v>1.0440863255063921</v>
      </c>
      <c r="W631" s="50">
        <v>0.73825684627122923</v>
      </c>
      <c r="X631" s="50">
        <v>0.73825684627122923</v>
      </c>
      <c r="Y631" s="50">
        <v>0.94227942370540352</v>
      </c>
      <c r="Z631" s="50">
        <v>0.94227942370540352</v>
      </c>
    </row>
    <row r="632" spans="19:26">
      <c r="S632" s="50">
        <v>0.95928242755983129</v>
      </c>
      <c r="T632" s="50">
        <v>0.94625319573630096</v>
      </c>
      <c r="U632" s="50">
        <v>0.89447691334808421</v>
      </c>
      <c r="V632" s="50">
        <v>0.92096155971063109</v>
      </c>
      <c r="W632" s="50">
        <v>0.74343146782178471</v>
      </c>
      <c r="X632" s="50">
        <v>0.74343146782178471</v>
      </c>
      <c r="Y632" s="50">
        <v>0.98350591194432158</v>
      </c>
      <c r="Z632" s="50">
        <v>0.98350591194432158</v>
      </c>
    </row>
    <row r="633" spans="19:26">
      <c r="S633" s="50">
        <v>0.9636273319408033</v>
      </c>
      <c r="T633" s="50">
        <v>0.95193393757468325</v>
      </c>
      <c r="U633" s="50">
        <v>1.0026853508119855</v>
      </c>
      <c r="V633" s="50">
        <v>0.9828796093805473</v>
      </c>
      <c r="W633" s="50">
        <v>0.85129260586095301</v>
      </c>
      <c r="X633" s="50">
        <v>0.85129260586095301</v>
      </c>
      <c r="Y633" s="50">
        <v>0.99639394696066863</v>
      </c>
      <c r="Z633" s="50">
        <v>0.99639394696066863</v>
      </c>
    </row>
    <row r="634" spans="19:26">
      <c r="S634" s="50">
        <v>0.95659087250331254</v>
      </c>
      <c r="T634" s="50">
        <v>0.94275443504709444</v>
      </c>
      <c r="U634" s="50">
        <v>0.98172800332430199</v>
      </c>
      <c r="V634" s="50">
        <v>1.2372597717958271</v>
      </c>
      <c r="W634" s="50">
        <v>0.75738180110079611</v>
      </c>
      <c r="X634" s="50">
        <v>0.75738180110079611</v>
      </c>
      <c r="Y634" s="50">
        <v>0.97457607852508654</v>
      </c>
      <c r="Z634" s="50">
        <v>0.97457607852508654</v>
      </c>
    </row>
    <row r="635" spans="19:26">
      <c r="S635" s="50">
        <v>0.96274742310838168</v>
      </c>
      <c r="T635" s="50">
        <v>0.95077434602337529</v>
      </c>
      <c r="U635" s="50">
        <v>1.0540344035007287</v>
      </c>
      <c r="V635" s="50">
        <v>1.0683310757898661</v>
      </c>
      <c r="W635" s="50">
        <v>0.76982821255849632</v>
      </c>
      <c r="X635" s="50">
        <v>0.76982821255849632</v>
      </c>
      <c r="Y635" s="50">
        <v>0.99557993980346216</v>
      </c>
      <c r="Z635" s="50">
        <v>0.99557993980346216</v>
      </c>
    </row>
    <row r="636" spans="19:26">
      <c r="S636" s="50">
        <v>0.96000301791855269</v>
      </c>
      <c r="T636" s="50">
        <v>0.94718578913262441</v>
      </c>
      <c r="U636" s="50">
        <v>0.9424641544566692</v>
      </c>
      <c r="V636" s="50">
        <v>0.91763475961505436</v>
      </c>
      <c r="W636" s="50">
        <v>0.71260223422460556</v>
      </c>
      <c r="X636" s="50">
        <v>0.71260223422460556</v>
      </c>
      <c r="Y636" s="50">
        <v>0.98722216154382414</v>
      </c>
      <c r="Z636" s="50">
        <v>0.98722216154382414</v>
      </c>
    </row>
    <row r="637" spans="19:26">
      <c r="S637" s="50">
        <v>0.96231388939651419</v>
      </c>
      <c r="T637" s="50">
        <v>0.95021079700524436</v>
      </c>
      <c r="U637" s="50">
        <v>0.86208932192593957</v>
      </c>
      <c r="V637" s="50">
        <v>0.92569594791457077</v>
      </c>
      <c r="W637" s="50">
        <v>0.78356230291495121</v>
      </c>
      <c r="X637" s="50">
        <v>0.78356230291495121</v>
      </c>
      <c r="Y637" s="50">
        <v>0.99328955043277367</v>
      </c>
      <c r="Z637" s="50">
        <v>0.99328955043277367</v>
      </c>
    </row>
    <row r="638" spans="19:26">
      <c r="S638" s="50">
        <v>0.9571258300911345</v>
      </c>
      <c r="T638" s="50">
        <v>0.94345360658379818</v>
      </c>
      <c r="U638" s="50">
        <v>0.93693866006762194</v>
      </c>
      <c r="V638" s="50">
        <v>0.92461764489702525</v>
      </c>
      <c r="W638" s="50">
        <v>0.77853068132766357</v>
      </c>
      <c r="X638" s="50">
        <v>0.77853068132766357</v>
      </c>
      <c r="Y638" s="50">
        <v>0.97555885734265879</v>
      </c>
      <c r="Z638" s="50">
        <v>0.97555885734265879</v>
      </c>
    </row>
    <row r="639" spans="19:26">
      <c r="S639" s="50">
        <v>0.96014510175438805</v>
      </c>
      <c r="T639" s="50">
        <v>0.94739323056389657</v>
      </c>
      <c r="U639" s="50">
        <v>0.98097284959891329</v>
      </c>
      <c r="V639" s="50">
        <v>0.96091047492033121</v>
      </c>
      <c r="W639" s="50">
        <v>0.85055820842799412</v>
      </c>
      <c r="X639" s="50">
        <v>0.85055820842799412</v>
      </c>
      <c r="Y639" s="50">
        <v>0.98325090199847176</v>
      </c>
      <c r="Z639" s="50">
        <v>0.98325090199847176</v>
      </c>
    </row>
    <row r="640" spans="19:26">
      <c r="S640" s="50">
        <v>0.94746232591465007</v>
      </c>
      <c r="T640" s="50">
        <v>0.93094364309787392</v>
      </c>
      <c r="U640" s="50">
        <v>0.86390018921364264</v>
      </c>
      <c r="V640" s="50">
        <v>0.98309553471093658</v>
      </c>
      <c r="W640" s="50">
        <v>0.84631494853605305</v>
      </c>
      <c r="X640" s="50">
        <v>0.84631494853605305</v>
      </c>
      <c r="Y640" s="50">
        <v>0.9518579827290844</v>
      </c>
      <c r="Z640" s="50">
        <v>0.9518579827290844</v>
      </c>
    </row>
    <row r="641" spans="19:26">
      <c r="S641" s="50">
        <v>0.95563351268779928</v>
      </c>
      <c r="T641" s="50">
        <v>0.94150599816654812</v>
      </c>
      <c r="U641" s="50">
        <v>0.88264988416092227</v>
      </c>
      <c r="V641" s="50">
        <v>0.83605993110770216</v>
      </c>
      <c r="W641" s="50">
        <v>0.73424886015457236</v>
      </c>
      <c r="X641" s="50">
        <v>0.73424886015457236</v>
      </c>
      <c r="Y641" s="50">
        <v>0.9725130868567069</v>
      </c>
      <c r="Z641" s="50">
        <v>0.9725130868567069</v>
      </c>
    </row>
    <row r="642" spans="19:26">
      <c r="S642" s="50">
        <v>0.96411427158595675</v>
      </c>
      <c r="T642" s="50">
        <v>0.95256708464921691</v>
      </c>
      <c r="U642" s="50">
        <v>1.0710626076326659</v>
      </c>
      <c r="V642" s="50">
        <v>0.88719795743493557</v>
      </c>
      <c r="W642" s="50">
        <v>0.82968624561463589</v>
      </c>
      <c r="X642" s="50">
        <v>0.82968624561463589</v>
      </c>
      <c r="Y642" s="50">
        <v>0.99920173696379622</v>
      </c>
      <c r="Z642" s="50">
        <v>0.99920173696379622</v>
      </c>
    </row>
    <row r="643" spans="19:26">
      <c r="S643" s="50">
        <v>0.95849503313496121</v>
      </c>
      <c r="T643" s="50">
        <v>0.94522319700316748</v>
      </c>
      <c r="U643" s="50">
        <v>0.95178277233508135</v>
      </c>
      <c r="V643" s="50">
        <v>0.90661241882213162</v>
      </c>
      <c r="W643" s="50">
        <v>0.71774038126426132</v>
      </c>
      <c r="X643" s="50">
        <v>0.71774038126426132</v>
      </c>
      <c r="Y643" s="50">
        <v>0.98178331682244191</v>
      </c>
      <c r="Z643" s="50">
        <v>0.98178331682244191</v>
      </c>
    </row>
    <row r="644" spans="19:26">
      <c r="S644" s="50">
        <v>0.95421316963559499</v>
      </c>
      <c r="T644" s="50">
        <v>0.93968165395536596</v>
      </c>
      <c r="U644" s="50">
        <v>0.87858214658938183</v>
      </c>
      <c r="V644" s="50">
        <v>0.89530795186228473</v>
      </c>
      <c r="W644" s="50">
        <v>0.84447744686304649</v>
      </c>
      <c r="X644" s="50">
        <v>0.84447744686304649</v>
      </c>
      <c r="Y644" s="50">
        <v>0.96618461146365353</v>
      </c>
      <c r="Z644" s="50">
        <v>0.96618461146365353</v>
      </c>
    </row>
    <row r="645" spans="19:26">
      <c r="S645" s="50">
        <v>0.96190759345319221</v>
      </c>
      <c r="T645" s="50">
        <v>0.94967431791147716</v>
      </c>
      <c r="U645" s="50">
        <v>0.87653639887617518</v>
      </c>
      <c r="V645" s="50">
        <v>0.91253593121422727</v>
      </c>
      <c r="W645" s="50">
        <v>0.74341875482270292</v>
      </c>
      <c r="X645" s="50">
        <v>0.74341875482270292</v>
      </c>
      <c r="Y645" s="50">
        <v>0.99321774214830016</v>
      </c>
      <c r="Z645" s="50">
        <v>0.99321774214830016</v>
      </c>
    </row>
    <row r="646" spans="19:26">
      <c r="S646" s="50">
        <v>0.94709827356910548</v>
      </c>
      <c r="T646" s="50">
        <v>0.9304666415688545</v>
      </c>
      <c r="U646" s="50">
        <v>1.2125961669948209</v>
      </c>
      <c r="V646" s="50">
        <v>1.2012055401424016</v>
      </c>
      <c r="W646" s="50">
        <v>0.80833210933415145</v>
      </c>
      <c r="X646" s="50">
        <v>0.80833210933415145</v>
      </c>
      <c r="Y646" s="50">
        <v>0.95173916264242164</v>
      </c>
      <c r="Z646" s="50">
        <v>0.95173916264242164</v>
      </c>
    </row>
    <row r="647" spans="19:26">
      <c r="S647" s="50">
        <v>0.96304039482632309</v>
      </c>
      <c r="T647" s="50">
        <v>0.95115976875591191</v>
      </c>
      <c r="U647" s="50">
        <v>0.93586308279458041</v>
      </c>
      <c r="V647" s="50">
        <v>0.88669927193790898</v>
      </c>
      <c r="W647" s="50">
        <v>0.79029419079087426</v>
      </c>
      <c r="X647" s="50">
        <v>0.79029419079087426</v>
      </c>
      <c r="Y647" s="50">
        <v>0.99601763057970949</v>
      </c>
      <c r="Z647" s="50">
        <v>0.99601763057970949</v>
      </c>
    </row>
    <row r="648" spans="19:26">
      <c r="S648" s="50">
        <v>0.96289634960517301</v>
      </c>
      <c r="T648" s="50">
        <v>0.95096716533991332</v>
      </c>
      <c r="U648" s="50">
        <v>0.86955919264268722</v>
      </c>
      <c r="V648" s="50">
        <v>0.96597272454777516</v>
      </c>
      <c r="W648" s="50">
        <v>0.76009119139074688</v>
      </c>
      <c r="X648" s="50">
        <v>0.76009119139074688</v>
      </c>
      <c r="Y648" s="50">
        <v>0.99659677751012432</v>
      </c>
      <c r="Z648" s="50">
        <v>0.99659677751012432</v>
      </c>
    </row>
    <row r="649" spans="19:26">
      <c r="S649" s="50">
        <v>0.95516317959459573</v>
      </c>
      <c r="T649" s="50">
        <v>0.94089770799939954</v>
      </c>
      <c r="U649" s="50">
        <v>0.97160709043287297</v>
      </c>
      <c r="V649" s="50">
        <v>0.92560483583800168</v>
      </c>
      <c r="W649" s="50">
        <v>0.74676718646544804</v>
      </c>
      <c r="X649" s="50">
        <v>0.74676718646544804</v>
      </c>
      <c r="Y649" s="50">
        <v>0.97085875311789904</v>
      </c>
      <c r="Z649" s="50">
        <v>0.97085875311789904</v>
      </c>
    </row>
    <row r="650" spans="19:26">
      <c r="S650" s="50">
        <v>0.96371336706434074</v>
      </c>
      <c r="T650" s="50">
        <v>0.95204193456402553</v>
      </c>
      <c r="U650" s="50">
        <v>1.02093147113414</v>
      </c>
      <c r="V650" s="50">
        <v>1.0033364253742467</v>
      </c>
      <c r="W650" s="50">
        <v>0.81684779325376122</v>
      </c>
      <c r="X650" s="50">
        <v>0.81684779325376122</v>
      </c>
      <c r="Y650" s="50">
        <v>0.99790947566996713</v>
      </c>
      <c r="Z650" s="50">
        <v>0.99790947566996713</v>
      </c>
    </row>
    <row r="651" spans="19:26">
      <c r="S651" s="50">
        <v>0.95155516596276712</v>
      </c>
      <c r="T651" s="50">
        <v>0.93622990503508097</v>
      </c>
      <c r="U651" s="50">
        <v>1.0111481880019029</v>
      </c>
      <c r="V651" s="50">
        <v>1.1122082957819099</v>
      </c>
      <c r="W651" s="50">
        <v>0.80565443941678516</v>
      </c>
      <c r="X651" s="50">
        <v>0.80565443941678516</v>
      </c>
      <c r="Y651" s="50">
        <v>0.96069184579096301</v>
      </c>
      <c r="Z651" s="50">
        <v>0.96069184579096301</v>
      </c>
    </row>
    <row r="652" spans="19:26">
      <c r="S652" s="50">
        <v>0.96345522812423035</v>
      </c>
      <c r="T652" s="50">
        <v>0.95169634451120055</v>
      </c>
      <c r="U652" s="50">
        <v>0.87908464325265878</v>
      </c>
      <c r="V652" s="50">
        <v>0.97294947674836085</v>
      </c>
      <c r="W652" s="50">
        <v>0.75775295649222818</v>
      </c>
      <c r="X652" s="50">
        <v>0.75775295649222818</v>
      </c>
      <c r="Y652" s="50">
        <v>0.99910154224060976</v>
      </c>
      <c r="Z652" s="50">
        <v>0.99910154224060976</v>
      </c>
    </row>
    <row r="653" spans="19:26">
      <c r="S653" s="50">
        <v>0.96302912249870598</v>
      </c>
      <c r="T653" s="50">
        <v>0.95113864727627062</v>
      </c>
      <c r="U653" s="50">
        <v>0.90819106832902685</v>
      </c>
      <c r="V653" s="50">
        <v>0.87644337886188806</v>
      </c>
      <c r="W653" s="50">
        <v>0.74893248797983936</v>
      </c>
      <c r="X653" s="50">
        <v>0.74893248797983936</v>
      </c>
      <c r="Y653" s="50">
        <v>0.99763499352648721</v>
      </c>
      <c r="Z653" s="50">
        <v>0.99763499352648721</v>
      </c>
    </row>
    <row r="654" spans="19:26">
      <c r="S654" s="50">
        <v>0.96333166363742695</v>
      </c>
      <c r="T654" s="50">
        <v>0.95154641007612917</v>
      </c>
      <c r="U654" s="50">
        <v>0.94404893053303007</v>
      </c>
      <c r="V654" s="50">
        <v>1.0743158130619781</v>
      </c>
      <c r="W654" s="50">
        <v>0.83838921206246575</v>
      </c>
      <c r="X654" s="50">
        <v>0.83838921206246575</v>
      </c>
      <c r="Y654" s="50">
        <v>0.99556784485119998</v>
      </c>
      <c r="Z654" s="50">
        <v>0.99556784485119998</v>
      </c>
    </row>
    <row r="655" spans="19:26">
      <c r="S655" s="50">
        <v>0.95622692349625049</v>
      </c>
      <c r="T655" s="50">
        <v>0.94228395178196922</v>
      </c>
      <c r="U655" s="50">
        <v>0.92323472176064059</v>
      </c>
      <c r="V655" s="50">
        <v>0.90651291104792331</v>
      </c>
      <c r="W655" s="50">
        <v>0.77079489631401987</v>
      </c>
      <c r="X655" s="50">
        <v>0.77079489631401987</v>
      </c>
      <c r="Y655" s="50">
        <v>0.97316048187684145</v>
      </c>
      <c r="Z655" s="50">
        <v>0.97316048187684145</v>
      </c>
    </row>
    <row r="656" spans="19:26">
      <c r="S656" s="50">
        <v>0.96315883629349475</v>
      </c>
      <c r="T656" s="50">
        <v>0.95131594495479432</v>
      </c>
      <c r="U656" s="50">
        <v>1.0852695469795197</v>
      </c>
      <c r="V656" s="50">
        <v>0.95501833311734963</v>
      </c>
      <c r="W656" s="50">
        <v>0.80144444528460401</v>
      </c>
      <c r="X656" s="50">
        <v>0.80144444528460401</v>
      </c>
      <c r="Y656" s="50">
        <v>0.99610476795177005</v>
      </c>
      <c r="Z656" s="50">
        <v>0.99610476795177005</v>
      </c>
    </row>
    <row r="657" spans="19:26">
      <c r="S657" s="50">
        <v>0.94322742990225228</v>
      </c>
      <c r="T657" s="50">
        <v>0.92547533469789056</v>
      </c>
      <c r="U657" s="50">
        <v>0.90830668698693873</v>
      </c>
      <c r="V657" s="50">
        <v>0.84227155401514886</v>
      </c>
      <c r="W657" s="50">
        <v>0.81188734950324593</v>
      </c>
      <c r="X657" s="50">
        <v>0.81188734950324593</v>
      </c>
      <c r="Y657" s="50">
        <v>0.94522772095361263</v>
      </c>
      <c r="Z657" s="50">
        <v>0.94522772095361263</v>
      </c>
    </row>
    <row r="658" spans="19:26">
      <c r="S658" s="50">
        <v>0.96130268273446717</v>
      </c>
      <c r="T658" s="50">
        <v>0.94888909399529542</v>
      </c>
      <c r="U658" s="50">
        <v>0.96957573595198321</v>
      </c>
      <c r="V658" s="50">
        <v>1.1100930137303138</v>
      </c>
      <c r="W658" s="50">
        <v>0.76479406459687715</v>
      </c>
      <c r="X658" s="50">
        <v>0.76479406459687715</v>
      </c>
      <c r="Y658" s="50">
        <v>0.99002413322678207</v>
      </c>
      <c r="Z658" s="50">
        <v>0.99002413322678207</v>
      </c>
    </row>
    <row r="659" spans="19:26">
      <c r="S659" s="50">
        <v>0.96130741310243784</v>
      </c>
      <c r="T659" s="50">
        <v>0.94889695768320925</v>
      </c>
      <c r="U659" s="50">
        <v>0.94029021188710693</v>
      </c>
      <c r="V659" s="50">
        <v>0.89478444909982158</v>
      </c>
      <c r="W659" s="50">
        <v>0.77531080328924151</v>
      </c>
      <c r="X659" s="50">
        <v>0.77531080328924151</v>
      </c>
      <c r="Y659" s="50">
        <v>0.98966450662878558</v>
      </c>
      <c r="Z659" s="50">
        <v>0.98966450662878558</v>
      </c>
    </row>
    <row r="660" spans="19:26">
      <c r="S660" s="50">
        <v>0.96401211183656355</v>
      </c>
      <c r="T660" s="50">
        <v>0.95243192994821579</v>
      </c>
      <c r="U660" s="50">
        <v>0.93555205138776287</v>
      </c>
      <c r="V660" s="50">
        <v>0.86614452949256504</v>
      </c>
      <c r="W660" s="50">
        <v>0.81611140234259516</v>
      </c>
      <c r="X660" s="50">
        <v>0.81611140234259516</v>
      </c>
      <c r="Y660" s="50">
        <v>0.99923558791017753</v>
      </c>
      <c r="Z660" s="50">
        <v>0.99923558791017753</v>
      </c>
    </row>
    <row r="661" spans="19:26">
      <c r="S661" s="50">
        <v>0.96201056920054451</v>
      </c>
      <c r="T661" s="50">
        <v>0.94980612224245575</v>
      </c>
      <c r="U661" s="50">
        <v>0.92939096207194738</v>
      </c>
      <c r="V661" s="50">
        <v>0.87256016288447658</v>
      </c>
      <c r="W661" s="50">
        <v>0.72919264043247012</v>
      </c>
      <c r="X661" s="50">
        <v>0.72919264043247012</v>
      </c>
      <c r="Y661" s="50">
        <v>0.99424023023281904</v>
      </c>
      <c r="Z661" s="50">
        <v>0.99424023023281904</v>
      </c>
    </row>
    <row r="662" spans="19:26">
      <c r="S662" s="50">
        <v>0.95858795490156323</v>
      </c>
      <c r="T662" s="50">
        <v>0.94536751038829814</v>
      </c>
      <c r="U662" s="50">
        <v>0.99746922824625861</v>
      </c>
      <c r="V662" s="50">
        <v>0.98306159888107358</v>
      </c>
      <c r="W662" s="50">
        <v>0.86027521697617759</v>
      </c>
      <c r="X662" s="50">
        <v>0.86027521697617759</v>
      </c>
      <c r="Y662" s="50">
        <v>0.97796987267624536</v>
      </c>
      <c r="Z662" s="50">
        <v>0.97796987267624536</v>
      </c>
    </row>
    <row r="663" spans="19:26">
      <c r="S663" s="50">
        <v>0.96022865551369108</v>
      </c>
      <c r="T663" s="50">
        <v>0.94749553562503874</v>
      </c>
      <c r="U663" s="50">
        <v>0.93329337211841212</v>
      </c>
      <c r="V663" s="50">
        <v>0.97146557385638022</v>
      </c>
      <c r="W663" s="50">
        <v>0.80381011690477533</v>
      </c>
      <c r="X663" s="50">
        <v>0.80381011690477533</v>
      </c>
      <c r="Y663" s="50">
        <v>0.9848215773422544</v>
      </c>
      <c r="Z663" s="50">
        <v>0.9848215773422544</v>
      </c>
    </row>
    <row r="664" spans="19:26">
      <c r="S664" s="50">
        <v>0.95829195156728697</v>
      </c>
      <c r="T664" s="50">
        <v>0.9449691031327041</v>
      </c>
      <c r="U664" s="50">
        <v>1.0207936721484636</v>
      </c>
      <c r="V664" s="50">
        <v>0.86951745916615186</v>
      </c>
      <c r="W664" s="50">
        <v>0.77200162324558685</v>
      </c>
      <c r="X664" s="50">
        <v>0.77200162324558685</v>
      </c>
      <c r="Y664" s="50">
        <v>0.97932175975811864</v>
      </c>
      <c r="Z664" s="50">
        <v>0.97932175975811864</v>
      </c>
    </row>
    <row r="665" spans="19:26">
      <c r="S665" s="50">
        <v>0.96234578962974271</v>
      </c>
      <c r="T665" s="50">
        <v>0.95026391043590042</v>
      </c>
      <c r="U665" s="50">
        <v>0.97976855713386868</v>
      </c>
      <c r="V665" s="50">
        <v>0.98089687601437969</v>
      </c>
      <c r="W665" s="50">
        <v>0.86997065671649221</v>
      </c>
      <c r="X665" s="50">
        <v>0.86997065671649221</v>
      </c>
      <c r="Y665" s="50">
        <v>0.99069408641922374</v>
      </c>
      <c r="Z665" s="50">
        <v>0.99069408641922374</v>
      </c>
    </row>
    <row r="666" spans="19:26">
      <c r="S666" s="50">
        <v>0.95903373668717473</v>
      </c>
      <c r="T666" s="50">
        <v>0.94594250806517177</v>
      </c>
      <c r="U666" s="50">
        <v>0.97293154603376597</v>
      </c>
      <c r="V666" s="50">
        <v>0.86884540006751076</v>
      </c>
      <c r="W666" s="50">
        <v>0.82337639188239464</v>
      </c>
      <c r="X666" s="50">
        <v>0.82337639188239464</v>
      </c>
      <c r="Y666" s="50">
        <v>0.98026835432629511</v>
      </c>
      <c r="Z666" s="50">
        <v>0.98026835432629511</v>
      </c>
    </row>
    <row r="667" spans="19:26">
      <c r="S667" s="50">
        <v>0.96113990890898349</v>
      </c>
      <c r="T667" s="50">
        <v>0.94868641109374219</v>
      </c>
      <c r="U667" s="50">
        <v>1.0024276416582802</v>
      </c>
      <c r="V667" s="50">
        <v>0.93478047789934715</v>
      </c>
      <c r="W667" s="50">
        <v>0.8284350420099228</v>
      </c>
      <c r="X667" s="50">
        <v>0.8284350420099228</v>
      </c>
      <c r="Y667" s="50">
        <v>0.98734786061672108</v>
      </c>
      <c r="Z667" s="50">
        <v>0.98734786061672108</v>
      </c>
    </row>
    <row r="668" spans="19:26">
      <c r="S668" s="50">
        <v>0.95389725459129704</v>
      </c>
      <c r="T668" s="50">
        <v>0.93925657769584558</v>
      </c>
      <c r="U668" s="50">
        <v>0.96499336287924264</v>
      </c>
      <c r="V668" s="50">
        <v>0.86449028390857341</v>
      </c>
      <c r="W668" s="50">
        <v>0.75646258810457989</v>
      </c>
      <c r="X668" s="50">
        <v>0.75646258810457989</v>
      </c>
      <c r="Y668" s="50">
        <v>0.96728655517968753</v>
      </c>
      <c r="Z668" s="50">
        <v>0.96728655517968753</v>
      </c>
    </row>
    <row r="669" spans="19:26">
      <c r="S669" s="50">
        <v>0.94964474993242864</v>
      </c>
      <c r="T669" s="50">
        <v>0.93375149047044026</v>
      </c>
      <c r="U669" s="50">
        <v>0.92874892986667568</v>
      </c>
      <c r="V669" s="50">
        <v>0.97667854118793185</v>
      </c>
      <c r="W669" s="50">
        <v>0.77602083294137914</v>
      </c>
      <c r="X669" s="50">
        <v>0.77602083294137914</v>
      </c>
      <c r="Y669" s="50">
        <v>0.9571816195497781</v>
      </c>
      <c r="Z669" s="50">
        <v>0.9571816195497781</v>
      </c>
    </row>
    <row r="670" spans="19:26">
      <c r="S670" s="50">
        <v>0.96198387760881232</v>
      </c>
      <c r="T670" s="50">
        <v>0.94978048606454113</v>
      </c>
      <c r="U670" s="50">
        <v>1.0113800510879054</v>
      </c>
      <c r="V670" s="50">
        <v>1.0077786746206459</v>
      </c>
      <c r="W670" s="50">
        <v>0.78458203341058352</v>
      </c>
      <c r="X670" s="50">
        <v>0.78458203341058352</v>
      </c>
      <c r="Y670" s="50">
        <v>0.99194359737574533</v>
      </c>
      <c r="Z670" s="50">
        <v>0.99194359737574533</v>
      </c>
    </row>
    <row r="671" spans="19:26">
      <c r="S671" s="50">
        <v>0.95483053136554108</v>
      </c>
      <c r="T671" s="50">
        <v>0.94045548381049637</v>
      </c>
      <c r="U671" s="50">
        <v>0.9545308951871232</v>
      </c>
      <c r="V671" s="50">
        <v>1.0615597600570259</v>
      </c>
      <c r="W671" s="50">
        <v>0.69925703263813277</v>
      </c>
      <c r="X671" s="50">
        <v>0.69925703263813277</v>
      </c>
      <c r="Y671" s="50">
        <v>0.97137314564385124</v>
      </c>
      <c r="Z671" s="50">
        <v>0.97137314564385124</v>
      </c>
    </row>
    <row r="672" spans="19:26">
      <c r="S672" s="50">
        <v>0.96053148106718422</v>
      </c>
      <c r="T672" s="50">
        <v>0.94788538962417723</v>
      </c>
      <c r="U672" s="50">
        <v>1.038301218805626</v>
      </c>
      <c r="V672" s="50">
        <v>0.82671154141121928</v>
      </c>
      <c r="W672" s="50">
        <v>0.77375712789595474</v>
      </c>
      <c r="X672" s="50">
        <v>0.77375712789595474</v>
      </c>
      <c r="Y672" s="50">
        <v>0.98684931201803061</v>
      </c>
      <c r="Z672" s="50">
        <v>0.98684931201803061</v>
      </c>
    </row>
    <row r="673" spans="19:26">
      <c r="S673" s="50">
        <v>0.94722278814498717</v>
      </c>
      <c r="T673" s="50">
        <v>0.93062160720886644</v>
      </c>
      <c r="U673" s="50">
        <v>0.80872376640783727</v>
      </c>
      <c r="V673" s="50">
        <v>0.8759777879617352</v>
      </c>
      <c r="W673" s="50">
        <v>0.77915394798433923</v>
      </c>
      <c r="X673" s="50">
        <v>0.77915394798433923</v>
      </c>
      <c r="Y673" s="50">
        <v>0.95242733972423232</v>
      </c>
      <c r="Z673" s="50">
        <v>0.95242733972423232</v>
      </c>
    </row>
    <row r="674" spans="19:26">
      <c r="S674" s="50">
        <v>0.96260449971573081</v>
      </c>
      <c r="T674" s="50">
        <v>0.95058808447052123</v>
      </c>
      <c r="U674" s="50">
        <v>1.025309883536897</v>
      </c>
      <c r="V674" s="50">
        <v>0.94187183206541125</v>
      </c>
      <c r="W674" s="50">
        <v>0.77136801165825886</v>
      </c>
      <c r="X674" s="50">
        <v>0.77136801165825886</v>
      </c>
      <c r="Y674" s="50">
        <v>0.99492857277175983</v>
      </c>
      <c r="Z674" s="50">
        <v>0.99492857277175983</v>
      </c>
    </row>
    <row r="675" spans="19:26">
      <c r="S675" s="50">
        <v>0.95919937041790182</v>
      </c>
      <c r="T675" s="50">
        <v>0.94615649324564099</v>
      </c>
      <c r="U675" s="50">
        <v>0.96828803510908312</v>
      </c>
      <c r="V675" s="50">
        <v>0.95088961699039143</v>
      </c>
      <c r="W675" s="50">
        <v>0.81241370072210717</v>
      </c>
      <c r="X675" s="50">
        <v>0.81241370072210717</v>
      </c>
      <c r="Y675" s="50">
        <v>0.98109763356616575</v>
      </c>
      <c r="Z675" s="50">
        <v>0.98109763356616575</v>
      </c>
    </row>
    <row r="676" spans="19:26">
      <c r="S676" s="50">
        <v>0.96262825309309263</v>
      </c>
      <c r="T676" s="50">
        <v>0.95061500607081717</v>
      </c>
      <c r="U676" s="50">
        <v>0.96564750352825146</v>
      </c>
      <c r="V676" s="50">
        <v>0.86824392915146986</v>
      </c>
      <c r="W676" s="50">
        <v>0.74621131403177721</v>
      </c>
      <c r="X676" s="50">
        <v>0.74621131403177721</v>
      </c>
      <c r="Y676" s="50">
        <v>0.99605278083737026</v>
      </c>
      <c r="Z676" s="50">
        <v>0.99605278083737026</v>
      </c>
    </row>
    <row r="677" spans="19:26">
      <c r="S677" s="50">
        <v>0.96309510727614467</v>
      </c>
      <c r="T677" s="50">
        <v>0.95122286518293031</v>
      </c>
      <c r="U677" s="50">
        <v>0.88831061365109676</v>
      </c>
      <c r="V677" s="50">
        <v>1.0332898447701429</v>
      </c>
      <c r="W677" s="50">
        <v>0.73755604340801384</v>
      </c>
      <c r="X677" s="50">
        <v>0.73755604340801384</v>
      </c>
      <c r="Y677" s="50">
        <v>0.9984271709530359</v>
      </c>
      <c r="Z677" s="50">
        <v>0.9984271709530359</v>
      </c>
    </row>
    <row r="678" spans="19:26">
      <c r="S678" s="50">
        <v>0.95767483224915628</v>
      </c>
      <c r="T678" s="50">
        <v>0.94416133503984756</v>
      </c>
      <c r="U678" s="50">
        <v>1.0195683298718403</v>
      </c>
      <c r="V678" s="50">
        <v>1.121565195484036</v>
      </c>
      <c r="W678" s="50">
        <v>0.74451216163441158</v>
      </c>
      <c r="X678" s="50">
        <v>0.74451216163441158</v>
      </c>
      <c r="Y678" s="50">
        <v>0.97822783428285043</v>
      </c>
      <c r="Z678" s="50">
        <v>0.97822783428285043</v>
      </c>
    </row>
    <row r="679" spans="19:26">
      <c r="S679" s="50">
        <v>0.94013193554526076</v>
      </c>
      <c r="T679" s="50">
        <v>0.92148071471546422</v>
      </c>
      <c r="U679" s="50">
        <v>0.97885022805182687</v>
      </c>
      <c r="V679" s="50">
        <v>0.88824741314538469</v>
      </c>
      <c r="W679" s="50">
        <v>0.76056428145886568</v>
      </c>
      <c r="X679" s="50">
        <v>0.76056428145886568</v>
      </c>
      <c r="Y679" s="50">
        <v>0.94135444455949202</v>
      </c>
      <c r="Z679" s="50">
        <v>0.94135444455949202</v>
      </c>
    </row>
    <row r="680" spans="19:26">
      <c r="S680" s="50">
        <v>0.95623909632757109</v>
      </c>
      <c r="T680" s="50">
        <v>0.94230819615793981</v>
      </c>
      <c r="U680" s="50">
        <v>1.0502346107778686</v>
      </c>
      <c r="V680" s="50">
        <v>1.0306884769760383</v>
      </c>
      <c r="W680" s="50">
        <v>0.82120343916804628</v>
      </c>
      <c r="X680" s="50">
        <v>0.82120343916804628</v>
      </c>
      <c r="Y680" s="50">
        <v>0.97196490497106391</v>
      </c>
      <c r="Z680" s="50">
        <v>0.97196490497106391</v>
      </c>
    </row>
    <row r="681" spans="19:26">
      <c r="S681" s="50">
        <v>0.96303121398489477</v>
      </c>
      <c r="T681" s="50">
        <v>0.9511363720217596</v>
      </c>
      <c r="U681" s="50">
        <v>0.96329119108245964</v>
      </c>
      <c r="V681" s="50">
        <v>0.94390034447236004</v>
      </c>
      <c r="W681" s="50">
        <v>0.72008882544684083</v>
      </c>
      <c r="X681" s="50">
        <v>0.72008882544684083</v>
      </c>
      <c r="Y681" s="50">
        <v>0.9989738883534518</v>
      </c>
      <c r="Z681" s="50">
        <v>0.9989738883534518</v>
      </c>
    </row>
    <row r="682" spans="19:26">
      <c r="S682" s="50">
        <v>0.95684929385408557</v>
      </c>
      <c r="T682" s="50">
        <v>0.94308657486692671</v>
      </c>
      <c r="U682" s="50">
        <v>0.94908732212468649</v>
      </c>
      <c r="V682" s="50">
        <v>0.95963011508543572</v>
      </c>
      <c r="W682" s="50">
        <v>0.73783071708929271</v>
      </c>
      <c r="X682" s="50">
        <v>0.73783071708929271</v>
      </c>
      <c r="Y682" s="50">
        <v>0.97592130414628442</v>
      </c>
      <c r="Z682" s="50">
        <v>0.97592130414628442</v>
      </c>
    </row>
    <row r="683" spans="19:26">
      <c r="S683" s="50">
        <v>0.96047028456802441</v>
      </c>
      <c r="T683" s="50">
        <v>0.94780853764192086</v>
      </c>
      <c r="U683" s="50">
        <v>1.1162583355513638</v>
      </c>
      <c r="V683" s="50">
        <v>0.92423707869101168</v>
      </c>
      <c r="W683" s="50">
        <v>0.79201248457546469</v>
      </c>
      <c r="X683" s="50">
        <v>0.79201248457546469</v>
      </c>
      <c r="Y683" s="50">
        <v>0.98603474572822547</v>
      </c>
      <c r="Z683" s="50">
        <v>0.98603474572822547</v>
      </c>
    </row>
    <row r="684" spans="19:26">
      <c r="S684" s="50">
        <v>0.9605734649524319</v>
      </c>
      <c r="T684" s="50">
        <v>0.94793893323996781</v>
      </c>
      <c r="U684" s="50">
        <v>0.99089054167066815</v>
      </c>
      <c r="V684" s="50">
        <v>0.95075377636526037</v>
      </c>
      <c r="W684" s="50">
        <v>0.76666796526927894</v>
      </c>
      <c r="X684" s="50">
        <v>0.76666796526927894</v>
      </c>
      <c r="Y684" s="50">
        <v>0.98724424144826894</v>
      </c>
      <c r="Z684" s="50">
        <v>0.98724424144826894</v>
      </c>
    </row>
    <row r="685" spans="19:26">
      <c r="S685" s="50">
        <v>0.95993628118793017</v>
      </c>
      <c r="T685" s="50">
        <v>0.94708716255586256</v>
      </c>
      <c r="U685" s="50">
        <v>0.91805860345048818</v>
      </c>
      <c r="V685" s="50">
        <v>0.94858689757348447</v>
      </c>
      <c r="W685" s="50">
        <v>0.65988604729429157</v>
      </c>
      <c r="X685" s="50">
        <v>0.65988604729429157</v>
      </c>
      <c r="Y685" s="50">
        <v>0.98942481290729833</v>
      </c>
      <c r="Z685" s="50">
        <v>0.98942481290729833</v>
      </c>
    </row>
    <row r="686" spans="19:26">
      <c r="S686" s="50">
        <v>0.95263522001341017</v>
      </c>
      <c r="T686" s="50">
        <v>0.93763465206340657</v>
      </c>
      <c r="U686" s="50">
        <v>0.9207600351012708</v>
      </c>
      <c r="V686" s="50">
        <v>0.84369898883278982</v>
      </c>
      <c r="W686" s="50">
        <v>0.83822208895433825</v>
      </c>
      <c r="X686" s="50">
        <v>0.83822208895433825</v>
      </c>
      <c r="Y686" s="50">
        <v>0.96253635900906975</v>
      </c>
      <c r="Z686" s="50">
        <v>0.96253635900906975</v>
      </c>
    </row>
    <row r="687" spans="19:26">
      <c r="S687" s="50">
        <v>0.96191126471736987</v>
      </c>
      <c r="T687" s="50">
        <v>0.94967627011921985</v>
      </c>
      <c r="U687" s="50">
        <v>0.92716487555083005</v>
      </c>
      <c r="V687" s="50">
        <v>0.91023572227060934</v>
      </c>
      <c r="W687" s="50">
        <v>0.72746797681726427</v>
      </c>
      <c r="X687" s="50">
        <v>0.72746797681726427</v>
      </c>
      <c r="Y687" s="50">
        <v>0.99391273049900597</v>
      </c>
      <c r="Z687" s="50">
        <v>0.99391273049900597</v>
      </c>
    </row>
    <row r="688" spans="19:26">
      <c r="S688" s="50">
        <v>0.9599351895880357</v>
      </c>
      <c r="T688" s="50">
        <v>0.94710408541458613</v>
      </c>
      <c r="U688" s="50">
        <v>1.0016825829026419</v>
      </c>
      <c r="V688" s="50">
        <v>1.021404149333496</v>
      </c>
      <c r="W688" s="50">
        <v>0.74769179402081043</v>
      </c>
      <c r="X688" s="50">
        <v>0.74769179402081043</v>
      </c>
      <c r="Y688" s="50">
        <v>0.98562436060688341</v>
      </c>
      <c r="Z688" s="50">
        <v>0.98562436060688341</v>
      </c>
    </row>
    <row r="689" spans="19:26">
      <c r="S689" s="50">
        <v>0.955027832319158</v>
      </c>
      <c r="T689" s="50">
        <v>0.9407246973503377</v>
      </c>
      <c r="U689" s="50">
        <v>0.81914704893565915</v>
      </c>
      <c r="V689" s="50">
        <v>1.0188614884625538</v>
      </c>
      <c r="W689" s="50">
        <v>0.76072156906549016</v>
      </c>
      <c r="X689" s="50">
        <v>0.76072156906549016</v>
      </c>
      <c r="Y689" s="50">
        <v>0.97012154134437345</v>
      </c>
      <c r="Z689" s="50">
        <v>0.97012154134437345</v>
      </c>
    </row>
    <row r="690" spans="19:26">
      <c r="S690" s="50">
        <v>0.95938189206649516</v>
      </c>
      <c r="T690" s="50">
        <v>0.94638195476220421</v>
      </c>
      <c r="U690" s="50">
        <v>1.0206539453987211</v>
      </c>
      <c r="V690" s="50">
        <v>1.0185980953789358</v>
      </c>
      <c r="W690" s="50">
        <v>0.73935676317131926</v>
      </c>
      <c r="X690" s="50">
        <v>0.73935676317131926</v>
      </c>
      <c r="Y690" s="50">
        <v>0.98399162493035586</v>
      </c>
      <c r="Z690" s="50">
        <v>0.98399162493035586</v>
      </c>
    </row>
    <row r="691" spans="19:26">
      <c r="S691" s="50">
        <v>0.96387812971402909</v>
      </c>
      <c r="T691" s="50">
        <v>0.95225439453055405</v>
      </c>
      <c r="U691" s="50">
        <v>1.0032355243173365</v>
      </c>
      <c r="V691" s="50">
        <v>0.93875897164806821</v>
      </c>
      <c r="W691" s="50">
        <v>0.79707171529666909</v>
      </c>
      <c r="X691" s="50">
        <v>0.79707171529666909</v>
      </c>
      <c r="Y691" s="50">
        <v>0.99935717287700943</v>
      </c>
      <c r="Z691" s="50">
        <v>0.99935717287700943</v>
      </c>
    </row>
    <row r="692" spans="19:26">
      <c r="S692" s="50">
        <v>0.96018076878751857</v>
      </c>
      <c r="T692" s="50">
        <v>0.94742997161318376</v>
      </c>
      <c r="U692" s="50">
        <v>0.81223228177881102</v>
      </c>
      <c r="V692" s="50">
        <v>0.84492485056130517</v>
      </c>
      <c r="W692" s="50">
        <v>0.78314715370571164</v>
      </c>
      <c r="X692" s="50">
        <v>0.78314715370571164</v>
      </c>
      <c r="Y692" s="50">
        <v>0.98529061553680863</v>
      </c>
      <c r="Z692" s="50">
        <v>0.98529061553680863</v>
      </c>
    </row>
    <row r="693" spans="19:26">
      <c r="S693" s="50">
        <v>0.96299436861956811</v>
      </c>
      <c r="T693" s="50">
        <v>0.95109072131804517</v>
      </c>
      <c r="U693" s="50">
        <v>0.99969363357696672</v>
      </c>
      <c r="V693" s="50">
        <v>1.0127640241100169</v>
      </c>
      <c r="W693" s="50">
        <v>0.73383452269308935</v>
      </c>
      <c r="X693" s="50">
        <v>0.73383452269308935</v>
      </c>
      <c r="Y693" s="50">
        <v>0.99816118785387664</v>
      </c>
      <c r="Z693" s="50">
        <v>0.99816118785387664</v>
      </c>
    </row>
    <row r="694" spans="19:26">
      <c r="S694" s="50">
        <v>0.96127836943286238</v>
      </c>
      <c r="T694" s="50">
        <v>0.9488722951362133</v>
      </c>
      <c r="U694" s="50">
        <v>0.84985682641039906</v>
      </c>
      <c r="V694" s="50">
        <v>0.89622744815194344</v>
      </c>
      <c r="W694" s="50">
        <v>0.87084527381063814</v>
      </c>
      <c r="X694" s="50">
        <v>0.87084527381063814</v>
      </c>
      <c r="Y694" s="50">
        <v>0.98669975299770096</v>
      </c>
      <c r="Z694" s="50">
        <v>0.98669975299770096</v>
      </c>
    </row>
    <row r="695" spans="19:26">
      <c r="S695" s="50">
        <v>0.96436606537764336</v>
      </c>
      <c r="T695" s="50">
        <v>0.9528991267752851</v>
      </c>
      <c r="U695" s="50">
        <v>0.80936303359451423</v>
      </c>
      <c r="V695" s="50">
        <v>1.1914667268751233</v>
      </c>
      <c r="W695" s="50">
        <v>0.85618102996771639</v>
      </c>
      <c r="X695" s="50">
        <v>0.85618102996771639</v>
      </c>
      <c r="Y695" s="50">
        <v>0.99941805025336516</v>
      </c>
      <c r="Z695" s="50">
        <v>0.99941805025336516</v>
      </c>
    </row>
    <row r="696" spans="19:26">
      <c r="S696" s="50">
        <v>0.96151465336416775</v>
      </c>
      <c r="T696" s="50">
        <v>0.9491605551224872</v>
      </c>
      <c r="U696" s="50">
        <v>0.92076991900253746</v>
      </c>
      <c r="V696" s="50">
        <v>0.93695184800886433</v>
      </c>
      <c r="W696" s="50">
        <v>0.73607100099472034</v>
      </c>
      <c r="X696" s="50">
        <v>0.73607100099472034</v>
      </c>
      <c r="Y696" s="50">
        <v>0.99196281468818825</v>
      </c>
      <c r="Z696" s="50">
        <v>0.99196281468818825</v>
      </c>
    </row>
    <row r="697" spans="19:26">
      <c r="S697" s="50">
        <v>0.95921823033460618</v>
      </c>
      <c r="T697" s="50">
        <v>0.94616536608663593</v>
      </c>
      <c r="U697" s="50">
        <v>1.009168178520538</v>
      </c>
      <c r="V697" s="50">
        <v>1.0561981867253403</v>
      </c>
      <c r="W697" s="50">
        <v>0.72127829841427771</v>
      </c>
      <c r="X697" s="50">
        <v>0.72127829841427771</v>
      </c>
      <c r="Y697" s="50">
        <v>0.98409652381540724</v>
      </c>
      <c r="Z697" s="50">
        <v>0.98409652381540724</v>
      </c>
    </row>
    <row r="698" spans="19:26">
      <c r="S698" s="50">
        <v>0.96342014037344936</v>
      </c>
      <c r="T698" s="50">
        <v>0.95165229391114892</v>
      </c>
      <c r="U698" s="50">
        <v>1.0688242035835991</v>
      </c>
      <c r="V698" s="50">
        <v>1.0804573930954655</v>
      </c>
      <c r="W698" s="50">
        <v>0.76901554282971696</v>
      </c>
      <c r="X698" s="50">
        <v>0.76901554282971696</v>
      </c>
      <c r="Y698" s="50">
        <v>0.99847210364912797</v>
      </c>
      <c r="Z698" s="50">
        <v>0.99847210364912797</v>
      </c>
    </row>
    <row r="699" spans="19:26">
      <c r="S699" s="50">
        <v>0.96209112527651075</v>
      </c>
      <c r="T699" s="50">
        <v>0.94991623449980689</v>
      </c>
      <c r="U699" s="50">
        <v>0.92622421873308891</v>
      </c>
      <c r="V699" s="50">
        <v>0.83360915355695575</v>
      </c>
      <c r="W699" s="50">
        <v>0.75835314092171746</v>
      </c>
      <c r="X699" s="50">
        <v>0.75835314092171746</v>
      </c>
      <c r="Y699" s="50">
        <v>0.99335112243551338</v>
      </c>
      <c r="Z699" s="50">
        <v>0.99335112243551338</v>
      </c>
    </row>
    <row r="700" spans="19:26">
      <c r="S700" s="50">
        <v>0.96121235755725554</v>
      </c>
      <c r="T700" s="50">
        <v>0.94876163317369022</v>
      </c>
      <c r="U700" s="50">
        <v>0.88217677669457761</v>
      </c>
      <c r="V700" s="50">
        <v>0.9526367958734514</v>
      </c>
      <c r="W700" s="50">
        <v>0.71081467209710625</v>
      </c>
      <c r="X700" s="50">
        <v>0.71081467209710625</v>
      </c>
      <c r="Y700" s="50">
        <v>0.99186800304889322</v>
      </c>
      <c r="Z700" s="50">
        <v>0.99186800304889322</v>
      </c>
    </row>
    <row r="701" spans="19:26">
      <c r="S701" s="50">
        <v>0.96317973156377468</v>
      </c>
      <c r="T701" s="50">
        <v>0.9513400819651332</v>
      </c>
      <c r="U701" s="50">
        <v>1.0624948740662441</v>
      </c>
      <c r="V701" s="50">
        <v>1.0198960578883014</v>
      </c>
      <c r="W701" s="50">
        <v>0.77974883969033149</v>
      </c>
      <c r="X701" s="50">
        <v>0.77974883969033149</v>
      </c>
      <c r="Y701" s="50">
        <v>0.99700758391157285</v>
      </c>
      <c r="Z701" s="50">
        <v>0.99700758391157285</v>
      </c>
    </row>
    <row r="702" spans="19:26">
      <c r="S702" s="50">
        <v>0.9570871548895874</v>
      </c>
      <c r="T702" s="50">
        <v>0.94341095949432408</v>
      </c>
      <c r="U702" s="50">
        <v>0.94375450851872289</v>
      </c>
      <c r="V702" s="50">
        <v>0.94314154310212095</v>
      </c>
      <c r="W702" s="50">
        <v>0.82589922644755953</v>
      </c>
      <c r="X702" s="50">
        <v>0.82589922644755953</v>
      </c>
      <c r="Y702" s="50">
        <v>0.97425968882375047</v>
      </c>
      <c r="Z702" s="50">
        <v>0.97425968882375047</v>
      </c>
    </row>
    <row r="703" spans="19:26">
      <c r="S703" s="50">
        <v>0.96296354408414586</v>
      </c>
      <c r="T703" s="50">
        <v>0.95105208844835942</v>
      </c>
      <c r="U703" s="50">
        <v>1.0446942653266802</v>
      </c>
      <c r="V703" s="50">
        <v>1.1283463248403443</v>
      </c>
      <c r="W703" s="50">
        <v>0.74318458855209613</v>
      </c>
      <c r="X703" s="50">
        <v>0.74318458855209613</v>
      </c>
      <c r="Y703" s="50">
        <v>0.99760592564531747</v>
      </c>
      <c r="Z703" s="50">
        <v>0.99760592564531747</v>
      </c>
    </row>
    <row r="704" spans="19:26">
      <c r="S704" s="50">
        <v>0.9612731281099971</v>
      </c>
      <c r="T704" s="50">
        <v>0.94885533524392307</v>
      </c>
      <c r="U704" s="50">
        <v>0.82514502841100601</v>
      </c>
      <c r="V704" s="50">
        <v>1.0509406228428892</v>
      </c>
      <c r="W704" s="50">
        <v>0.79527240995943937</v>
      </c>
      <c r="X704" s="50">
        <v>0.79527240995943937</v>
      </c>
      <c r="Y704" s="50">
        <v>0.98885843632437753</v>
      </c>
      <c r="Z704" s="50">
        <v>0.98885843632437753</v>
      </c>
    </row>
    <row r="705" spans="19:26">
      <c r="S705" s="50">
        <v>0.96367909862182199</v>
      </c>
      <c r="T705" s="50">
        <v>0.95199845128233052</v>
      </c>
      <c r="U705" s="50">
        <v>0.91040145803377215</v>
      </c>
      <c r="V705" s="50">
        <v>0.97240563700951033</v>
      </c>
      <c r="W705" s="50">
        <v>0.82652412150498356</v>
      </c>
      <c r="X705" s="50">
        <v>0.82652412150498356</v>
      </c>
      <c r="Y705" s="50">
        <v>0.99742536094525858</v>
      </c>
      <c r="Z705" s="50">
        <v>0.99742536094525858</v>
      </c>
    </row>
    <row r="706" spans="19:26">
      <c r="S706" s="50">
        <v>0.96197233604714294</v>
      </c>
      <c r="T706" s="50">
        <v>0.94976756804078444</v>
      </c>
      <c r="U706" s="50">
        <v>0.98812986298072558</v>
      </c>
      <c r="V706" s="50">
        <v>0.94268079410689998</v>
      </c>
      <c r="W706" s="50">
        <v>0.79896706955388141</v>
      </c>
      <c r="X706" s="50">
        <v>0.79896706955388141</v>
      </c>
      <c r="Y706" s="50">
        <v>0.99140071745657354</v>
      </c>
      <c r="Z706" s="50">
        <v>0.99140071745657354</v>
      </c>
    </row>
    <row r="707" spans="19:26">
      <c r="S707" s="50">
        <v>0.95512077515801863</v>
      </c>
      <c r="T707" s="50">
        <v>0.94083802110460335</v>
      </c>
      <c r="U707" s="50">
        <v>1.067965630348511</v>
      </c>
      <c r="V707" s="50">
        <v>1.0766833725476856</v>
      </c>
      <c r="W707" s="50">
        <v>0.72442093034070665</v>
      </c>
      <c r="X707" s="50">
        <v>0.72442093034070665</v>
      </c>
      <c r="Y707" s="50">
        <v>0.97138368078185811</v>
      </c>
      <c r="Z707" s="50">
        <v>0.97138368078185811</v>
      </c>
    </row>
    <row r="708" spans="19:26">
      <c r="S708" s="50">
        <v>0.96428409536893356</v>
      </c>
      <c r="T708" s="50">
        <v>0.95279195944618389</v>
      </c>
      <c r="U708" s="50">
        <v>0.92731183411659579</v>
      </c>
      <c r="V708" s="50">
        <v>0.84794529226907434</v>
      </c>
      <c r="W708" s="50">
        <v>0.85522794691204984</v>
      </c>
      <c r="X708" s="50">
        <v>0.85522794691204984</v>
      </c>
      <c r="Y708" s="50">
        <v>0.99908874851045071</v>
      </c>
      <c r="Z708" s="50">
        <v>0.99908874851045071</v>
      </c>
    </row>
    <row r="709" spans="19:26">
      <c r="S709" s="50">
        <v>0.9619172634482932</v>
      </c>
      <c r="T709" s="50">
        <v>0.9496867511355056</v>
      </c>
      <c r="U709" s="50">
        <v>0.95834129214654185</v>
      </c>
      <c r="V709" s="50">
        <v>0.84727928294666932</v>
      </c>
      <c r="W709" s="50">
        <v>0.74238187296843217</v>
      </c>
      <c r="X709" s="50">
        <v>0.74238187296843217</v>
      </c>
      <c r="Y709" s="50">
        <v>0.99329944181907392</v>
      </c>
      <c r="Z709" s="50">
        <v>0.99329944181907392</v>
      </c>
    </row>
    <row r="710" spans="19:26">
      <c r="S710" s="50">
        <v>0.9606767697443136</v>
      </c>
      <c r="T710" s="50">
        <v>0.94807989883383037</v>
      </c>
      <c r="U710" s="50">
        <v>0.89690777254911924</v>
      </c>
      <c r="V710" s="50">
        <v>1.0055048575245127</v>
      </c>
      <c r="W710" s="50">
        <v>0.80748046619644298</v>
      </c>
      <c r="X710" s="50">
        <v>0.80748046619644298</v>
      </c>
      <c r="Y710" s="50">
        <v>0.98629524561852899</v>
      </c>
      <c r="Z710" s="50">
        <v>0.98629524561852899</v>
      </c>
    </row>
    <row r="711" spans="19:26">
      <c r="S711" s="50">
        <v>0.94698804031544048</v>
      </c>
      <c r="T711" s="50">
        <v>0.93031934746385903</v>
      </c>
      <c r="U711" s="50">
        <v>1.0278862146603063</v>
      </c>
      <c r="V711" s="50">
        <v>0.98365255174290456</v>
      </c>
      <c r="W711" s="50">
        <v>0.78345967670451011</v>
      </c>
      <c r="X711" s="50">
        <v>0.78345967670451011</v>
      </c>
      <c r="Y711" s="50">
        <v>0.95192757687929652</v>
      </c>
      <c r="Z711" s="50">
        <v>0.95192757687929652</v>
      </c>
    </row>
    <row r="712" spans="19:26">
      <c r="S712" s="50">
        <v>0.96018041249038366</v>
      </c>
      <c r="T712" s="50">
        <v>0.94742118620557103</v>
      </c>
      <c r="U712" s="50">
        <v>0.95090927712946538</v>
      </c>
      <c r="V712" s="50">
        <v>0.9752724777443097</v>
      </c>
      <c r="W712" s="50">
        <v>0.73473777230390835</v>
      </c>
      <c r="X712" s="50">
        <v>0.73473777230390835</v>
      </c>
      <c r="Y712" s="50">
        <v>0.98698315771074241</v>
      </c>
      <c r="Z712" s="50">
        <v>0.98698315771074241</v>
      </c>
    </row>
    <row r="713" spans="19:26">
      <c r="S713" s="50">
        <v>0.95702683268012656</v>
      </c>
      <c r="T713" s="50">
        <v>0.94331860684837499</v>
      </c>
      <c r="U713" s="50">
        <v>0.85494309274527069</v>
      </c>
      <c r="V713" s="50">
        <v>0.94414299886225961</v>
      </c>
      <c r="W713" s="50">
        <v>0.74408887479046548</v>
      </c>
      <c r="X713" s="50">
        <v>0.74408887479046548</v>
      </c>
      <c r="Y713" s="50">
        <v>0.97625929841386605</v>
      </c>
      <c r="Z713" s="50">
        <v>0.97625929841386605</v>
      </c>
    </row>
    <row r="714" spans="19:26">
      <c r="S714" s="50">
        <v>0.96008840891663316</v>
      </c>
      <c r="T714" s="50">
        <v>0.94731879840009769</v>
      </c>
      <c r="U714" s="50">
        <v>0.98538636497235421</v>
      </c>
      <c r="V714" s="50">
        <v>1.0516176548675733</v>
      </c>
      <c r="W714" s="50">
        <v>0.8460360611545451</v>
      </c>
      <c r="X714" s="50">
        <v>0.8460360611545451</v>
      </c>
      <c r="Y714" s="50">
        <v>0.98317355969907316</v>
      </c>
      <c r="Z714" s="50">
        <v>0.98317355969907316</v>
      </c>
    </row>
    <row r="715" spans="19:26">
      <c r="S715" s="50">
        <v>0.95738476190370281</v>
      </c>
      <c r="T715" s="50">
        <v>0.94379097150212254</v>
      </c>
      <c r="U715" s="50">
        <v>0.95107494370983858</v>
      </c>
      <c r="V715" s="50">
        <v>0.97208854457862504</v>
      </c>
      <c r="W715" s="50">
        <v>0.78269499246538021</v>
      </c>
      <c r="X715" s="50">
        <v>0.78269499246538021</v>
      </c>
      <c r="Y715" s="50">
        <v>0.97621797596378002</v>
      </c>
      <c r="Z715" s="50">
        <v>0.97621797596378002</v>
      </c>
    </row>
    <row r="716" spans="19:26">
      <c r="S716" s="50">
        <v>0.96267658938914424</v>
      </c>
      <c r="T716" s="50">
        <v>0.95067201256953004</v>
      </c>
      <c r="U716" s="50">
        <v>0.93152561416601032</v>
      </c>
      <c r="V716" s="50">
        <v>0.94496150857736005</v>
      </c>
      <c r="W716" s="50">
        <v>0.71215594126594162</v>
      </c>
      <c r="X716" s="50">
        <v>0.71215594126594162</v>
      </c>
      <c r="Y716" s="50">
        <v>0.99782305493077683</v>
      </c>
      <c r="Z716" s="50">
        <v>0.99782305493077683</v>
      </c>
    </row>
    <row r="717" spans="19:26">
      <c r="S717" s="50">
        <v>0.96301737643055108</v>
      </c>
      <c r="T717" s="50">
        <v>0.95112262697534944</v>
      </c>
      <c r="U717" s="50">
        <v>0.92220739309757327</v>
      </c>
      <c r="V717" s="50">
        <v>0.98667523476330288</v>
      </c>
      <c r="W717" s="50">
        <v>0.74480056458071842</v>
      </c>
      <c r="X717" s="50">
        <v>0.74480056458071842</v>
      </c>
      <c r="Y717" s="50">
        <v>0.99776566226169172</v>
      </c>
      <c r="Z717" s="50">
        <v>0.99776566226169172</v>
      </c>
    </row>
    <row r="718" spans="19:26">
      <c r="S718" s="50">
        <v>0.96244653640485511</v>
      </c>
      <c r="T718" s="50">
        <v>0.95038597514743706</v>
      </c>
      <c r="U718" s="50">
        <v>0.9337823279024362</v>
      </c>
      <c r="V718" s="50">
        <v>0.899591053585022</v>
      </c>
      <c r="W718" s="50">
        <v>0.79802143297937311</v>
      </c>
      <c r="X718" s="50">
        <v>0.79802143297937311</v>
      </c>
      <c r="Y718" s="50">
        <v>0.99330629963948436</v>
      </c>
      <c r="Z718" s="50">
        <v>0.99330629963948436</v>
      </c>
    </row>
    <row r="719" spans="19:26">
      <c r="S719" s="50">
        <v>0.96004872703207123</v>
      </c>
      <c r="T719" s="50">
        <v>0.94727293107705379</v>
      </c>
      <c r="U719" s="50">
        <v>1.07864047690753</v>
      </c>
      <c r="V719" s="50">
        <v>0.96679316856400443</v>
      </c>
      <c r="W719" s="50">
        <v>0.89275695067481819</v>
      </c>
      <c r="X719" s="50">
        <v>0.89275695067481819</v>
      </c>
      <c r="Y719" s="50">
        <v>0.98192993735233625</v>
      </c>
      <c r="Z719" s="50">
        <v>0.98192993735233625</v>
      </c>
    </row>
    <row r="720" spans="19:26">
      <c r="S720" s="50">
        <v>0.95429776735435645</v>
      </c>
      <c r="T720" s="50">
        <v>0.939755883550775</v>
      </c>
      <c r="U720" s="50">
        <v>1.0509526068669621</v>
      </c>
      <c r="V720" s="50">
        <v>0.94540367037174355</v>
      </c>
      <c r="W720" s="50">
        <v>0.66765162710037995</v>
      </c>
      <c r="X720" s="50">
        <v>0.66765162710037995</v>
      </c>
      <c r="Y720" s="50">
        <v>0.97100359231727362</v>
      </c>
      <c r="Z720" s="50">
        <v>0.97100359231727362</v>
      </c>
    </row>
    <row r="721" spans="19:26">
      <c r="S721" s="50">
        <v>0.96019191260636583</v>
      </c>
      <c r="T721" s="50">
        <v>0.94744375356652211</v>
      </c>
      <c r="U721" s="50">
        <v>0.91636764414993244</v>
      </c>
      <c r="V721" s="50">
        <v>0.8696200516968392</v>
      </c>
      <c r="W721" s="50">
        <v>0.77855793520219108</v>
      </c>
      <c r="X721" s="50">
        <v>0.77855793520219108</v>
      </c>
      <c r="Y721" s="50">
        <v>0.98547769033314225</v>
      </c>
      <c r="Z721" s="50">
        <v>0.98547769033314225</v>
      </c>
    </row>
    <row r="722" spans="19:26">
      <c r="S722" s="50">
        <v>0.95930727442055963</v>
      </c>
      <c r="T722" s="50">
        <v>0.9462906597604519</v>
      </c>
      <c r="U722" s="50">
        <v>0.72623864088122903</v>
      </c>
      <c r="V722" s="50">
        <v>0.88535377623707834</v>
      </c>
      <c r="W722" s="50">
        <v>0.77251119941210811</v>
      </c>
      <c r="X722" s="50">
        <v>0.77251119941210811</v>
      </c>
      <c r="Y722" s="50">
        <v>0.98262311801566227</v>
      </c>
      <c r="Z722" s="50">
        <v>0.98262311801566227</v>
      </c>
    </row>
    <row r="723" spans="19:26">
      <c r="S723" s="50">
        <v>0.96333498691576669</v>
      </c>
      <c r="T723" s="50">
        <v>0.95153712067547269</v>
      </c>
      <c r="U723" s="50">
        <v>0.99945093179932587</v>
      </c>
      <c r="V723" s="50">
        <v>1.0322205804604261</v>
      </c>
      <c r="W723" s="50">
        <v>0.74402399525998208</v>
      </c>
      <c r="X723" s="50">
        <v>0.74402399525998208</v>
      </c>
      <c r="Y723" s="50">
        <v>0.99918103594141439</v>
      </c>
      <c r="Z723" s="50">
        <v>0.99918103594141439</v>
      </c>
    </row>
    <row r="724" spans="19:26">
      <c r="S724" s="50">
        <v>0.95310861347780673</v>
      </c>
      <c r="T724" s="50">
        <v>0.93823473520787715</v>
      </c>
      <c r="U724" s="50">
        <v>0.91774080671911895</v>
      </c>
      <c r="V724" s="50">
        <v>0.84041498650293589</v>
      </c>
      <c r="W724" s="50">
        <v>0.76161063373873128</v>
      </c>
      <c r="X724" s="50">
        <v>0.76161063373873128</v>
      </c>
      <c r="Y724" s="50">
        <v>0.96520731050227282</v>
      </c>
      <c r="Z724" s="50">
        <v>0.96520731050227282</v>
      </c>
    </row>
    <row r="725" spans="19:26">
      <c r="S725" s="50">
        <v>0.96223955525635607</v>
      </c>
      <c r="T725" s="50">
        <v>0.95012081021969685</v>
      </c>
      <c r="U725" s="50">
        <v>0.98208445915272002</v>
      </c>
      <c r="V725" s="50">
        <v>0.9859438650571658</v>
      </c>
      <c r="W725" s="50">
        <v>0.83328906320887208</v>
      </c>
      <c r="X725" s="50">
        <v>0.83328906320887208</v>
      </c>
      <c r="Y725" s="50">
        <v>0.99133985639863176</v>
      </c>
      <c r="Z725" s="50">
        <v>0.99133985639863176</v>
      </c>
    </row>
    <row r="726" spans="19:26">
      <c r="S726" s="50">
        <v>0.96369824615020416</v>
      </c>
      <c r="T726" s="50">
        <v>0.95201916896306471</v>
      </c>
      <c r="U726" s="50">
        <v>0.97667988943709705</v>
      </c>
      <c r="V726" s="50">
        <v>0.9500177907081222</v>
      </c>
      <c r="W726" s="50">
        <v>0.79466080917976589</v>
      </c>
      <c r="X726" s="50">
        <v>0.79466080917976589</v>
      </c>
      <c r="Y726" s="50">
        <v>0.99866175367449606</v>
      </c>
      <c r="Z726" s="50">
        <v>0.99866175367449606</v>
      </c>
    </row>
    <row r="727" spans="19:26">
      <c r="S727" s="50">
        <v>0.96314631674593665</v>
      </c>
      <c r="T727" s="50">
        <v>0.95129268041301263</v>
      </c>
      <c r="U727" s="50">
        <v>1.0385778104359011</v>
      </c>
      <c r="V727" s="50">
        <v>0.89365677284555201</v>
      </c>
      <c r="W727" s="50">
        <v>0.75538867490167183</v>
      </c>
      <c r="X727" s="50">
        <v>0.75538867490167183</v>
      </c>
      <c r="Y727" s="50">
        <v>0.99786038584000969</v>
      </c>
      <c r="Z727" s="50">
        <v>0.99786038584000969</v>
      </c>
    </row>
    <row r="728" spans="19:26">
      <c r="S728" s="50">
        <v>0.95634151906098308</v>
      </c>
      <c r="T728" s="50">
        <v>0.94243399103410797</v>
      </c>
      <c r="U728" s="50">
        <v>1.0708571628868107</v>
      </c>
      <c r="V728" s="50">
        <v>1.1984574609569103</v>
      </c>
      <c r="W728" s="50">
        <v>0.77718577099524344</v>
      </c>
      <c r="X728" s="50">
        <v>0.77718577099524344</v>
      </c>
      <c r="Y728" s="50">
        <v>0.97331721594595644</v>
      </c>
      <c r="Z728" s="50">
        <v>0.97331721594595644</v>
      </c>
    </row>
    <row r="729" spans="19:26">
      <c r="S729" s="50">
        <v>0.9640934192431766</v>
      </c>
      <c r="T729" s="50">
        <v>0.95253675360702317</v>
      </c>
      <c r="U729" s="50">
        <v>0.96848086760384389</v>
      </c>
      <c r="V729" s="50">
        <v>1.0656309965637074</v>
      </c>
      <c r="W729" s="50">
        <v>0.80587683628758522</v>
      </c>
      <c r="X729" s="50">
        <v>0.80587683628758522</v>
      </c>
      <c r="Y729" s="50">
        <v>0.99997387193759169</v>
      </c>
      <c r="Z729" s="50">
        <v>0.99997387193759169</v>
      </c>
    </row>
    <row r="730" spans="19:26">
      <c r="S730" s="50">
        <v>0.95896191911922379</v>
      </c>
      <c r="T730" s="50">
        <v>0.94583635838874525</v>
      </c>
      <c r="U730" s="50">
        <v>0.91390564627219806</v>
      </c>
      <c r="V730" s="50">
        <v>0.91402114417024616</v>
      </c>
      <c r="W730" s="50">
        <v>0.74581041159295436</v>
      </c>
      <c r="X730" s="50">
        <v>0.74581041159295436</v>
      </c>
      <c r="Y730" s="50">
        <v>0.98233992544372273</v>
      </c>
      <c r="Z730" s="50">
        <v>0.98233992544372273</v>
      </c>
    </row>
    <row r="731" spans="19:26">
      <c r="S731" s="50">
        <v>0.93104023531205216</v>
      </c>
      <c r="T731" s="50">
        <v>0.90983675684872101</v>
      </c>
      <c r="U731" s="50">
        <v>0.94560523168376687</v>
      </c>
      <c r="V731" s="50">
        <v>1.0014056867526795</v>
      </c>
      <c r="W731" s="50">
        <v>0.79228580431033668</v>
      </c>
      <c r="X731" s="50">
        <v>0.79228580431033668</v>
      </c>
      <c r="Y731" s="50">
        <v>0.9302341131518449</v>
      </c>
      <c r="Z731" s="50">
        <v>0.9302341131518449</v>
      </c>
    </row>
    <row r="732" spans="19:26">
      <c r="S732" s="50">
        <v>0.96251022620756188</v>
      </c>
      <c r="T732" s="50">
        <v>0.95046013468180268</v>
      </c>
      <c r="U732" s="50">
        <v>0.92010984028621778</v>
      </c>
      <c r="V732" s="50">
        <v>1.0732002608232347</v>
      </c>
      <c r="W732" s="50">
        <v>0.74118420501621873</v>
      </c>
      <c r="X732" s="50">
        <v>0.74118420501621873</v>
      </c>
      <c r="Y732" s="50">
        <v>0.99577597997656264</v>
      </c>
      <c r="Z732" s="50">
        <v>0.99577597997656264</v>
      </c>
    </row>
    <row r="733" spans="19:26">
      <c r="S733" s="50">
        <v>0.96090659268364376</v>
      </c>
      <c r="T733" s="50">
        <v>0.94836971408915494</v>
      </c>
      <c r="U733" s="50">
        <v>0.87319472675554277</v>
      </c>
      <c r="V733" s="50">
        <v>0.73770300511126796</v>
      </c>
      <c r="W733" s="50">
        <v>0.74688025720774243</v>
      </c>
      <c r="X733" s="50">
        <v>0.74688025720774243</v>
      </c>
      <c r="Y733" s="50">
        <v>0.98919668742652644</v>
      </c>
      <c r="Z733" s="50">
        <v>0.98919668742652644</v>
      </c>
    </row>
    <row r="734" spans="19:26">
      <c r="S734" s="50">
        <v>0.9507527342831863</v>
      </c>
      <c r="T734" s="50">
        <v>0.93519333092741652</v>
      </c>
      <c r="U734" s="50">
        <v>1.0422648512340063</v>
      </c>
      <c r="V734" s="50">
        <v>0.77031740040010155</v>
      </c>
      <c r="W734" s="50">
        <v>0.81927342683743332</v>
      </c>
      <c r="X734" s="50">
        <v>0.81927342683743332</v>
      </c>
      <c r="Y734" s="50">
        <v>0.95871399655783052</v>
      </c>
      <c r="Z734" s="50">
        <v>0.95871399655783052</v>
      </c>
    </row>
    <row r="735" spans="19:26">
      <c r="S735" s="50">
        <v>0.96075248760047449</v>
      </c>
      <c r="T735" s="50">
        <v>0.94817635930093658</v>
      </c>
      <c r="U735" s="50">
        <v>0.95721218998407143</v>
      </c>
      <c r="V735" s="50">
        <v>1.0885018243244149</v>
      </c>
      <c r="W735" s="50">
        <v>0.79269121494802797</v>
      </c>
      <c r="X735" s="50">
        <v>0.79269121494802797</v>
      </c>
      <c r="Y735" s="50">
        <v>0.98702708891816215</v>
      </c>
      <c r="Z735" s="50">
        <v>0.98702708891816215</v>
      </c>
    </row>
    <row r="736" spans="19:26">
      <c r="S736" s="50">
        <v>0.96401926820663164</v>
      </c>
      <c r="T736" s="50">
        <v>0.952442899051956</v>
      </c>
      <c r="U736" s="50">
        <v>1.0098635221216761</v>
      </c>
      <c r="V736" s="50">
        <v>1.0518784762390236</v>
      </c>
      <c r="W736" s="50">
        <v>0.8287326041794465</v>
      </c>
      <c r="X736" s="50">
        <v>0.8287326041794465</v>
      </c>
      <c r="Y736" s="50">
        <v>0.99881889165482118</v>
      </c>
      <c r="Z736" s="50">
        <v>0.99881889165482118</v>
      </c>
    </row>
    <row r="737" spans="19:26">
      <c r="S737" s="50">
        <v>0.94325552179396865</v>
      </c>
      <c r="T737" s="50">
        <v>0.92549103247776021</v>
      </c>
      <c r="U737" s="50">
        <v>0.85550258005866642</v>
      </c>
      <c r="V737" s="50">
        <v>0.91405712322663513</v>
      </c>
      <c r="W737" s="50">
        <v>0.72364485388400646</v>
      </c>
      <c r="X737" s="50">
        <v>0.72364485388400646</v>
      </c>
      <c r="Y737" s="50">
        <v>0.94657211526397111</v>
      </c>
      <c r="Z737" s="50">
        <v>0.94657211526397111</v>
      </c>
    </row>
    <row r="738" spans="19:26">
      <c r="S738" s="50">
        <v>0.95239694996707147</v>
      </c>
      <c r="T738" s="50">
        <v>0.93729934276811266</v>
      </c>
      <c r="U738" s="50">
        <v>0.981878128862258</v>
      </c>
      <c r="V738" s="50">
        <v>0.91156560418462418</v>
      </c>
      <c r="W738" s="50">
        <v>0.70357972756303144</v>
      </c>
      <c r="X738" s="50">
        <v>0.70357972756303144</v>
      </c>
      <c r="Y738" s="50">
        <v>0.96497403557024886</v>
      </c>
      <c r="Z738" s="50">
        <v>0.96497403557024886</v>
      </c>
    </row>
    <row r="739" spans="19:26">
      <c r="S739" s="50">
        <v>0.96153160434119933</v>
      </c>
      <c r="T739" s="50">
        <v>0.94918684850739965</v>
      </c>
      <c r="U739" s="50">
        <v>0.95912082267165577</v>
      </c>
      <c r="V739" s="50">
        <v>0.94822517376844306</v>
      </c>
      <c r="W739" s="50">
        <v>0.76040785831226865</v>
      </c>
      <c r="X739" s="50">
        <v>0.76040785831226865</v>
      </c>
      <c r="Y739" s="50">
        <v>0.99106596240610778</v>
      </c>
      <c r="Z739" s="50">
        <v>0.99106596240610778</v>
      </c>
    </row>
    <row r="740" spans="19:26">
      <c r="S740" s="50">
        <v>0.96425967506285315</v>
      </c>
      <c r="T740" s="50">
        <v>0.95276422089699497</v>
      </c>
      <c r="U740" s="50">
        <v>0.98606829918065064</v>
      </c>
      <c r="V740" s="50">
        <v>1.0115781742954475</v>
      </c>
      <c r="W740" s="50">
        <v>0.89276195191376151</v>
      </c>
      <c r="X740" s="50">
        <v>0.89276195191376151</v>
      </c>
      <c r="Y740" s="50">
        <v>0.99783825961162342</v>
      </c>
      <c r="Z740" s="50">
        <v>0.99783825961162342</v>
      </c>
    </row>
    <row r="741" spans="19:26">
      <c r="S741" s="50">
        <v>0.96042744059565299</v>
      </c>
      <c r="T741" s="50">
        <v>0.94774171817649655</v>
      </c>
      <c r="U741" s="50">
        <v>1.0315725063536099</v>
      </c>
      <c r="V741" s="50">
        <v>1.1173000295198288</v>
      </c>
      <c r="W741" s="50">
        <v>0.7275558511350505</v>
      </c>
      <c r="X741" s="50">
        <v>0.7275558511350505</v>
      </c>
      <c r="Y741" s="50">
        <v>0.98816826162277172</v>
      </c>
      <c r="Z741" s="50">
        <v>0.98816826162277172</v>
      </c>
    </row>
    <row r="742" spans="19:26">
      <c r="S742" s="50">
        <v>0.96107636899427173</v>
      </c>
      <c r="T742" s="50">
        <v>0.9485921875486466</v>
      </c>
      <c r="U742" s="50">
        <v>0.99494883994067662</v>
      </c>
      <c r="V742" s="50">
        <v>1.0042726657772716</v>
      </c>
      <c r="W742" s="50">
        <v>0.75361809930292079</v>
      </c>
      <c r="X742" s="50">
        <v>0.75361809930292079</v>
      </c>
      <c r="Y742" s="50">
        <v>0.98958068614226602</v>
      </c>
      <c r="Z742" s="50">
        <v>0.98958068614226602</v>
      </c>
    </row>
    <row r="743" spans="19:26">
      <c r="S743" s="50">
        <v>0.96102228495489916</v>
      </c>
      <c r="T743" s="50">
        <v>0.94852055546846004</v>
      </c>
      <c r="U743" s="50">
        <v>0.79485722633024802</v>
      </c>
      <c r="V743" s="50">
        <v>0.7534263080192044</v>
      </c>
      <c r="W743" s="50">
        <v>0.74708255058408446</v>
      </c>
      <c r="X743" s="50">
        <v>0.74708255058408446</v>
      </c>
      <c r="Y743" s="50">
        <v>0.98962500486990523</v>
      </c>
      <c r="Z743" s="50">
        <v>0.98962500486990523</v>
      </c>
    </row>
    <row r="744" spans="19:26">
      <c r="S744" s="50">
        <v>0.96145666158784471</v>
      </c>
      <c r="T744" s="50">
        <v>0.94909609588866928</v>
      </c>
      <c r="U744" s="50">
        <v>1.0887023439962329</v>
      </c>
      <c r="V744" s="50">
        <v>1.0787359551969997</v>
      </c>
      <c r="W744" s="50">
        <v>0.80547195814677419</v>
      </c>
      <c r="X744" s="50">
        <v>0.80547195814677419</v>
      </c>
      <c r="Y744" s="50">
        <v>0.98921634540412207</v>
      </c>
      <c r="Z744" s="50">
        <v>0.98921634540412207</v>
      </c>
    </row>
    <row r="745" spans="19:26">
      <c r="S745" s="50">
        <v>0.95756285463384261</v>
      </c>
      <c r="T745" s="50">
        <v>0.944032303832683</v>
      </c>
      <c r="U745" s="50">
        <v>0.96164457306114892</v>
      </c>
      <c r="V745" s="50">
        <v>0.89510724967694122</v>
      </c>
      <c r="W745" s="50">
        <v>0.84603522345636506</v>
      </c>
      <c r="X745" s="50">
        <v>0.84603522345636506</v>
      </c>
      <c r="Y745" s="50">
        <v>0.97519293373637539</v>
      </c>
      <c r="Z745" s="50">
        <v>0.97519293373637539</v>
      </c>
    </row>
    <row r="746" spans="19:26">
      <c r="S746" s="50">
        <v>0.96365018604288777</v>
      </c>
      <c r="T746" s="50">
        <v>0.95196650668479132</v>
      </c>
      <c r="U746" s="50">
        <v>0.99361095858054538</v>
      </c>
      <c r="V746" s="50">
        <v>0.98861924078252172</v>
      </c>
      <c r="W746" s="50">
        <v>0.87490177452324136</v>
      </c>
      <c r="X746" s="50">
        <v>0.87490177452324136</v>
      </c>
      <c r="Y746" s="50">
        <v>0.99577536316437287</v>
      </c>
      <c r="Z746" s="50">
        <v>0.99577536316437287</v>
      </c>
    </row>
    <row r="747" spans="19:26">
      <c r="S747" s="50">
        <v>0.96070091235575616</v>
      </c>
      <c r="T747" s="50">
        <v>0.94811142142177229</v>
      </c>
      <c r="U747" s="50">
        <v>0.92573269961152527</v>
      </c>
      <c r="V747" s="50">
        <v>0.74475907774436845</v>
      </c>
      <c r="W747" s="50">
        <v>0.80791795622327389</v>
      </c>
      <c r="X747" s="50">
        <v>0.80791795622327389</v>
      </c>
      <c r="Y747" s="50">
        <v>0.98636847837591135</v>
      </c>
      <c r="Z747" s="50">
        <v>0.98636847837591135</v>
      </c>
    </row>
    <row r="748" spans="19:26">
      <c r="S748" s="50">
        <v>0.95257156342645777</v>
      </c>
      <c r="T748" s="50">
        <v>0.93754612929040992</v>
      </c>
      <c r="U748" s="50">
        <v>1.029261455763572</v>
      </c>
      <c r="V748" s="50">
        <v>0.86007632213482466</v>
      </c>
      <c r="W748" s="50">
        <v>0.80222569330224314</v>
      </c>
      <c r="X748" s="50">
        <v>0.80222569330224314</v>
      </c>
      <c r="Y748" s="50">
        <v>0.9630596783658143</v>
      </c>
      <c r="Z748" s="50">
        <v>0.9630596783658143</v>
      </c>
    </row>
    <row r="749" spans="19:26">
      <c r="S749" s="50">
        <v>0.96367999875734489</v>
      </c>
      <c r="T749" s="50">
        <v>0.95199433875456374</v>
      </c>
      <c r="U749" s="50">
        <v>1.0193008990751369</v>
      </c>
      <c r="V749" s="50">
        <v>0.93398971323274071</v>
      </c>
      <c r="W749" s="50">
        <v>0.78760710978116566</v>
      </c>
      <c r="X749" s="50">
        <v>0.78760710978116566</v>
      </c>
      <c r="Y749" s="50">
        <v>0.99885568593492313</v>
      </c>
      <c r="Z749" s="50">
        <v>0.99885568593492313</v>
      </c>
    </row>
    <row r="750" spans="19:26">
      <c r="S750" s="50">
        <v>0.9636436870204258</v>
      </c>
      <c r="T750" s="50">
        <v>0.95194425747907252</v>
      </c>
      <c r="U750" s="50">
        <v>0.84842580442839266</v>
      </c>
      <c r="V750" s="50">
        <v>0.84857753373457134</v>
      </c>
      <c r="W750" s="50">
        <v>0.7695957608070878</v>
      </c>
      <c r="X750" s="50">
        <v>0.7695957608070878</v>
      </c>
      <c r="Y750" s="50">
        <v>0.99942652070672477</v>
      </c>
      <c r="Z750" s="50">
        <v>0.99942652070672477</v>
      </c>
    </row>
    <row r="751" spans="19:26">
      <c r="S751" s="50">
        <v>0.9609501280660151</v>
      </c>
      <c r="T751" s="50">
        <v>0.9484263038610663</v>
      </c>
      <c r="U751" s="50">
        <v>0.98646491308289219</v>
      </c>
      <c r="V751" s="50">
        <v>0.96603809191226608</v>
      </c>
      <c r="W751" s="50">
        <v>0.74598193958676162</v>
      </c>
      <c r="X751" s="50">
        <v>0.74598193958676162</v>
      </c>
      <c r="Y751" s="50">
        <v>0.98939493819794289</v>
      </c>
      <c r="Z751" s="50">
        <v>0.98939493819794289</v>
      </c>
    </row>
    <row r="752" spans="19:26">
      <c r="S752" s="50">
        <v>0.96190153056835193</v>
      </c>
      <c r="T752" s="50">
        <v>0.94967524154987604</v>
      </c>
      <c r="U752" s="50">
        <v>0.99793111684606517</v>
      </c>
      <c r="V752" s="50">
        <v>0.90682100578537672</v>
      </c>
      <c r="W752" s="50">
        <v>0.79906879433292177</v>
      </c>
      <c r="X752" s="50">
        <v>0.79906879433292177</v>
      </c>
      <c r="Y752" s="50">
        <v>0.99112243294157221</v>
      </c>
      <c r="Z752" s="50">
        <v>0.99112243294157221</v>
      </c>
    </row>
    <row r="753" spans="19:26">
      <c r="S753" s="50">
        <v>0.96278571480814801</v>
      </c>
      <c r="T753" s="50">
        <v>0.95082602307501241</v>
      </c>
      <c r="U753" s="50">
        <v>1.0255497741278234</v>
      </c>
      <c r="V753" s="50">
        <v>0.88576567312007815</v>
      </c>
      <c r="W753" s="50">
        <v>0.78098748417703112</v>
      </c>
      <c r="X753" s="50">
        <v>0.78098748417703112</v>
      </c>
      <c r="Y753" s="50">
        <v>0.99530745786359309</v>
      </c>
      <c r="Z753" s="50">
        <v>0.99530745786359309</v>
      </c>
    </row>
    <row r="754" spans="19:26">
      <c r="S754" s="50">
        <v>0.95926763272719817</v>
      </c>
      <c r="T754" s="50">
        <v>0.94623362779819076</v>
      </c>
      <c r="U754" s="50">
        <v>0.92480111184702429</v>
      </c>
      <c r="V754" s="50">
        <v>1.0304027758157372</v>
      </c>
      <c r="W754" s="50">
        <v>0.74178547569970843</v>
      </c>
      <c r="X754" s="50">
        <v>0.74178547569970843</v>
      </c>
      <c r="Y754" s="50">
        <v>0.98351331999152192</v>
      </c>
      <c r="Z754" s="50">
        <v>0.98351331999152192</v>
      </c>
    </row>
    <row r="755" spans="19:26">
      <c r="S755" s="50">
        <v>0.95579179273113335</v>
      </c>
      <c r="T755" s="50">
        <v>0.94171303019744712</v>
      </c>
      <c r="U755" s="50">
        <v>0.90121840224916716</v>
      </c>
      <c r="V755" s="50">
        <v>0.91750079759733361</v>
      </c>
      <c r="W755" s="50">
        <v>0.74128295958608303</v>
      </c>
      <c r="X755" s="50">
        <v>0.74128295958608303</v>
      </c>
      <c r="Y755" s="50">
        <v>0.9727515320248743</v>
      </c>
      <c r="Z755" s="50">
        <v>0.9727515320248743</v>
      </c>
    </row>
    <row r="756" spans="19:26">
      <c r="S756" s="50">
        <v>0.96426436240186919</v>
      </c>
      <c r="T756" s="50">
        <v>0.95276288354317962</v>
      </c>
      <c r="U756" s="50">
        <v>0.97556072570599262</v>
      </c>
      <c r="V756" s="50">
        <v>1.0166715151970684</v>
      </c>
      <c r="W756" s="50">
        <v>0.82792179953327683</v>
      </c>
      <c r="X756" s="50">
        <v>0.82792179953327683</v>
      </c>
      <c r="Y756" s="50">
        <v>0.999926518922168</v>
      </c>
      <c r="Z756" s="50">
        <v>0.999926518922168</v>
      </c>
    </row>
    <row r="757" spans="19:26">
      <c r="S757" s="50">
        <v>0.96323599237451885</v>
      </c>
      <c r="T757" s="50">
        <v>0.95140936177241231</v>
      </c>
      <c r="U757" s="50">
        <v>0.92432650844550024</v>
      </c>
      <c r="V757" s="50">
        <v>0.98143086415133296</v>
      </c>
      <c r="W757" s="50">
        <v>0.75302405116476789</v>
      </c>
      <c r="X757" s="50">
        <v>0.75302405116476789</v>
      </c>
      <c r="Y757" s="50">
        <v>0.99834986282161708</v>
      </c>
      <c r="Z757" s="50">
        <v>0.99834986282161708</v>
      </c>
    </row>
    <row r="758" spans="19:26">
      <c r="S758" s="50">
        <v>0.96004903358224458</v>
      </c>
      <c r="T758" s="50">
        <v>0.94725678441827288</v>
      </c>
      <c r="U758" s="50">
        <v>1.0599220237673812</v>
      </c>
      <c r="V758" s="50">
        <v>0.935543597579513</v>
      </c>
      <c r="W758" s="50">
        <v>0.77336159309378094</v>
      </c>
      <c r="X758" s="50">
        <v>0.77336159309378094</v>
      </c>
      <c r="Y758" s="50">
        <v>0.98514437759651896</v>
      </c>
      <c r="Z758" s="50">
        <v>0.98514437759651896</v>
      </c>
    </row>
    <row r="759" spans="19:26">
      <c r="S759" s="50">
        <v>0.95579911869527479</v>
      </c>
      <c r="T759" s="50">
        <v>0.9417108521550227</v>
      </c>
      <c r="U759" s="50">
        <v>1.0185408856190385</v>
      </c>
      <c r="V759" s="50">
        <v>0.84813863708559367</v>
      </c>
      <c r="W759" s="50">
        <v>0.6880127498731291</v>
      </c>
      <c r="X759" s="50">
        <v>0.6880127498731291</v>
      </c>
      <c r="Y759" s="50">
        <v>0.97449541183835064</v>
      </c>
      <c r="Z759" s="50">
        <v>0.97449541183835064</v>
      </c>
    </row>
    <row r="760" spans="19:26">
      <c r="S760" s="50">
        <v>0.96053926275444168</v>
      </c>
      <c r="T760" s="50">
        <v>0.94789212939196266</v>
      </c>
      <c r="U760" s="50">
        <v>0.96749636764611635</v>
      </c>
      <c r="V760" s="50">
        <v>0.91226341623655471</v>
      </c>
      <c r="W760" s="50">
        <v>0.75348462607293132</v>
      </c>
      <c r="X760" s="50">
        <v>0.75348462607293132</v>
      </c>
      <c r="Y760" s="50">
        <v>0.98758857099995701</v>
      </c>
      <c r="Z760" s="50">
        <v>0.98758857099995701</v>
      </c>
    </row>
    <row r="761" spans="19:26">
      <c r="S761" s="50">
        <v>0.96113858621892656</v>
      </c>
      <c r="T761" s="50">
        <v>0.9486854448085289</v>
      </c>
      <c r="U761" s="50">
        <v>1.0921616292835896</v>
      </c>
      <c r="V761" s="50">
        <v>0.97329040351195184</v>
      </c>
      <c r="W761" s="50">
        <v>0.83405702938105697</v>
      </c>
      <c r="X761" s="50">
        <v>0.83405702938105697</v>
      </c>
      <c r="Y761" s="50">
        <v>0.98718205087482547</v>
      </c>
      <c r="Z761" s="50">
        <v>0.98718205087482547</v>
      </c>
    </row>
    <row r="762" spans="19:26">
      <c r="S762" s="50">
        <v>0.96367820902828416</v>
      </c>
      <c r="T762" s="50">
        <v>0.95199820985164696</v>
      </c>
      <c r="U762" s="50">
        <v>1.00719863468013</v>
      </c>
      <c r="V762" s="50">
        <v>0.87536614977660154</v>
      </c>
      <c r="W762" s="50">
        <v>0.83377352215717293</v>
      </c>
      <c r="X762" s="50">
        <v>0.83377352215717293</v>
      </c>
      <c r="Y762" s="50">
        <v>0.99717651776641958</v>
      </c>
      <c r="Z762" s="50">
        <v>0.99717651776641958</v>
      </c>
    </row>
    <row r="763" spans="19:26">
      <c r="S763" s="50">
        <v>0.96286995687141896</v>
      </c>
      <c r="T763" s="50">
        <v>0.95092429015904123</v>
      </c>
      <c r="U763" s="50">
        <v>0.93562732436038676</v>
      </c>
      <c r="V763" s="50">
        <v>0.9891538039272435</v>
      </c>
      <c r="W763" s="50">
        <v>0.71155290604690491</v>
      </c>
      <c r="X763" s="50">
        <v>0.71155290604690491</v>
      </c>
      <c r="Y763" s="50">
        <v>0.99869116049660256</v>
      </c>
      <c r="Z763" s="50">
        <v>0.99869116049660256</v>
      </c>
    </row>
    <row r="764" spans="19:26">
      <c r="S764" s="50">
        <v>0.96288981148072172</v>
      </c>
      <c r="T764" s="50">
        <v>0.95095714445560031</v>
      </c>
      <c r="U764" s="50">
        <v>0.94195506322655309</v>
      </c>
      <c r="V764" s="50">
        <v>0.82851496623081977</v>
      </c>
      <c r="W764" s="50">
        <v>0.75093508788574204</v>
      </c>
      <c r="X764" s="50">
        <v>0.75093508788574204</v>
      </c>
      <c r="Y764" s="50">
        <v>0.99695385471734554</v>
      </c>
      <c r="Z764" s="50">
        <v>0.99695385471734554</v>
      </c>
    </row>
    <row r="765" spans="19:26">
      <c r="S765" s="50">
        <v>0.94706008512193851</v>
      </c>
      <c r="T765" s="50">
        <v>0.93039196450162021</v>
      </c>
      <c r="U765" s="50">
        <v>1.0846799345125662</v>
      </c>
      <c r="V765" s="50">
        <v>1.0544702792836533</v>
      </c>
      <c r="W765" s="50">
        <v>0.69768837235985115</v>
      </c>
      <c r="X765" s="50">
        <v>0.69768837235985115</v>
      </c>
      <c r="Y765" s="50">
        <v>0.95369921990916628</v>
      </c>
      <c r="Z765" s="50">
        <v>0.95369921990916628</v>
      </c>
    </row>
    <row r="766" spans="19:26">
      <c r="S766" s="50">
        <v>0.95069808685121826</v>
      </c>
      <c r="T766" s="50">
        <v>0.93510879813725922</v>
      </c>
      <c r="U766" s="50">
        <v>0.97093055647558746</v>
      </c>
      <c r="V766" s="50">
        <v>0.81956603477567902</v>
      </c>
      <c r="W766" s="50">
        <v>0.74815527701986406</v>
      </c>
      <c r="X766" s="50">
        <v>0.74815527701986406</v>
      </c>
      <c r="Y766" s="50">
        <v>0.9599698497158824</v>
      </c>
      <c r="Z766" s="50">
        <v>0.9599698497158824</v>
      </c>
    </row>
    <row r="767" spans="19:26">
      <c r="S767" s="50">
        <v>0.96227642621661968</v>
      </c>
      <c r="T767" s="50">
        <v>0.95014254723877922</v>
      </c>
      <c r="U767" s="50">
        <v>0.98909007140174354</v>
      </c>
      <c r="V767" s="50">
        <v>1.0913404764227823</v>
      </c>
      <c r="W767" s="50">
        <v>0.67643821558662398</v>
      </c>
      <c r="X767" s="50">
        <v>0.67643821558662398</v>
      </c>
      <c r="Y767" s="50">
        <v>0.9979770410382609</v>
      </c>
      <c r="Z767" s="50">
        <v>0.9979770410382609</v>
      </c>
    </row>
    <row r="768" spans="19:26">
      <c r="S768" s="50">
        <v>0.96144767192517167</v>
      </c>
      <c r="T768" s="50">
        <v>0.94907796042573112</v>
      </c>
      <c r="U768" s="50">
        <v>1.0334049351850567</v>
      </c>
      <c r="V768" s="50">
        <v>0.92879031631902009</v>
      </c>
      <c r="W768" s="50">
        <v>0.76375798702736408</v>
      </c>
      <c r="X768" s="50">
        <v>0.76375798702736408</v>
      </c>
      <c r="Y768" s="50">
        <v>0.99061685341447614</v>
      </c>
      <c r="Z768" s="50">
        <v>0.99061685341447614</v>
      </c>
    </row>
    <row r="769" spans="19:26">
      <c r="S769" s="50">
        <v>0.96352843693673595</v>
      </c>
      <c r="T769" s="50">
        <v>0.95180211352814836</v>
      </c>
      <c r="U769" s="50">
        <v>0.88587249940637003</v>
      </c>
      <c r="V769" s="50">
        <v>0.97974147277621282</v>
      </c>
      <c r="W769" s="50">
        <v>0.82927528246862714</v>
      </c>
      <c r="X769" s="50">
        <v>0.82927528246862714</v>
      </c>
      <c r="Y769" s="50">
        <v>0.99669168139040831</v>
      </c>
      <c r="Z769" s="50">
        <v>0.99669168139040831</v>
      </c>
    </row>
    <row r="770" spans="19:26">
      <c r="S770" s="50">
        <v>0.96069477530628178</v>
      </c>
      <c r="T770" s="50">
        <v>0.94810706473711026</v>
      </c>
      <c r="U770" s="50">
        <v>0.98910224036883954</v>
      </c>
      <c r="V770" s="50">
        <v>0.95475887062866749</v>
      </c>
      <c r="W770" s="50">
        <v>0.83384611245137652</v>
      </c>
      <c r="X770" s="50">
        <v>0.83384611245137652</v>
      </c>
      <c r="Y770" s="50">
        <v>0.98559785206578665</v>
      </c>
      <c r="Z770" s="50">
        <v>0.98559785206578665</v>
      </c>
    </row>
    <row r="771" spans="19:26">
      <c r="S771" s="50">
        <v>0.95977005036580965</v>
      </c>
      <c r="T771" s="50">
        <v>0.946903141233849</v>
      </c>
      <c r="U771" s="50">
        <v>1.0247868888584852</v>
      </c>
      <c r="V771" s="50">
        <v>1.0614470142837713</v>
      </c>
      <c r="W771" s="50">
        <v>0.83808100883553971</v>
      </c>
      <c r="X771" s="50">
        <v>0.83808100883553971</v>
      </c>
      <c r="Y771" s="50">
        <v>0.98230590164081188</v>
      </c>
      <c r="Z771" s="50">
        <v>0.98230590164081188</v>
      </c>
    </row>
    <row r="772" spans="19:26">
      <c r="S772" s="50">
        <v>0.96019577114411747</v>
      </c>
      <c r="T772" s="50">
        <v>0.94744037096490408</v>
      </c>
      <c r="U772" s="50">
        <v>0.98398340185062372</v>
      </c>
      <c r="V772" s="50">
        <v>1.02587471015066</v>
      </c>
      <c r="W772" s="50">
        <v>0.73032318127422824</v>
      </c>
      <c r="X772" s="50">
        <v>0.73032318127422824</v>
      </c>
      <c r="Y772" s="50">
        <v>0.98720974612003942</v>
      </c>
      <c r="Z772" s="50">
        <v>0.98720974612003942</v>
      </c>
    </row>
    <row r="773" spans="19:26">
      <c r="S773" s="50">
        <v>0.96415358673033358</v>
      </c>
      <c r="T773" s="50">
        <v>0.95262314225708189</v>
      </c>
      <c r="U773" s="50">
        <v>0.94489904599756025</v>
      </c>
      <c r="V773" s="50">
        <v>1.1251833207240138</v>
      </c>
      <c r="W773" s="50">
        <v>0.86938512511877875</v>
      </c>
      <c r="X773" s="50">
        <v>0.86938512511877875</v>
      </c>
      <c r="Y773" s="50">
        <v>0.99807492447504398</v>
      </c>
      <c r="Z773" s="50">
        <v>0.99807492447504398</v>
      </c>
    </row>
    <row r="774" spans="19:26">
      <c r="S774" s="50">
        <v>0.9638944779136609</v>
      </c>
      <c r="T774" s="50">
        <v>0.95227583655262571</v>
      </c>
      <c r="U774" s="50">
        <v>0.9733640152433426</v>
      </c>
      <c r="V774" s="50">
        <v>0.94728148278277946</v>
      </c>
      <c r="W774" s="50">
        <v>0.79774505446043731</v>
      </c>
      <c r="X774" s="50">
        <v>0.79774505446043731</v>
      </c>
      <c r="Y774" s="50">
        <v>0.99940331541802707</v>
      </c>
      <c r="Z774" s="50">
        <v>0.99940331541802707</v>
      </c>
    </row>
    <row r="775" spans="19:26">
      <c r="S775" s="50">
        <v>0.95883497939669227</v>
      </c>
      <c r="T775" s="50">
        <v>0.945674156054644</v>
      </c>
      <c r="U775" s="50">
        <v>0.7990952251130039</v>
      </c>
      <c r="V775" s="50">
        <v>0.85584386021333314</v>
      </c>
      <c r="W775" s="50">
        <v>0.76270899762229782</v>
      </c>
      <c r="X775" s="50">
        <v>0.76270899762229782</v>
      </c>
      <c r="Y775" s="50">
        <v>0.98136222949808893</v>
      </c>
      <c r="Z775" s="50">
        <v>0.98136222949808893</v>
      </c>
    </row>
    <row r="776" spans="19:26">
      <c r="S776" s="50">
        <v>0.96359870798208291</v>
      </c>
      <c r="T776" s="50">
        <v>0.95189532231733065</v>
      </c>
      <c r="U776" s="50">
        <v>0.95243564302008699</v>
      </c>
      <c r="V776" s="50">
        <v>0.8560557593357585</v>
      </c>
      <c r="W776" s="50">
        <v>0.84101897786154023</v>
      </c>
      <c r="X776" s="50">
        <v>0.84101897786154023</v>
      </c>
      <c r="Y776" s="50">
        <v>0.99660110172434757</v>
      </c>
      <c r="Z776" s="50">
        <v>0.99660110172434757</v>
      </c>
    </row>
    <row r="777" spans="19:26">
      <c r="S777" s="50">
        <v>0.95380253384083746</v>
      </c>
      <c r="T777" s="50">
        <v>0.93914621322743796</v>
      </c>
      <c r="U777" s="50">
        <v>1.0944931176297026</v>
      </c>
      <c r="V777" s="50">
        <v>0.88699126848996923</v>
      </c>
      <c r="W777" s="50">
        <v>0.82662008849524393</v>
      </c>
      <c r="X777" s="50">
        <v>0.82662008849524393</v>
      </c>
      <c r="Y777" s="50">
        <v>0.96551430754863521</v>
      </c>
      <c r="Z777" s="50">
        <v>0.96551430754863521</v>
      </c>
    </row>
    <row r="778" spans="19:26">
      <c r="S778" s="50">
        <v>0.95300752798831045</v>
      </c>
      <c r="T778" s="50">
        <v>0.93809707388240904</v>
      </c>
      <c r="U778" s="50">
        <v>0.94220154660230515</v>
      </c>
      <c r="V778" s="50">
        <v>0.90336451569402998</v>
      </c>
      <c r="W778" s="50">
        <v>0.73004496050847245</v>
      </c>
      <c r="X778" s="50">
        <v>0.73004496050847245</v>
      </c>
      <c r="Y778" s="50">
        <v>0.96574190172917318</v>
      </c>
      <c r="Z778" s="50">
        <v>0.96574190172917318</v>
      </c>
    </row>
    <row r="779" spans="19:26">
      <c r="S779" s="50">
        <v>0.9583093797422253</v>
      </c>
      <c r="T779" s="50">
        <v>0.94498806201336094</v>
      </c>
      <c r="U779" s="50">
        <v>1.0278569447596588</v>
      </c>
      <c r="V779" s="50">
        <v>0.90920177077216036</v>
      </c>
      <c r="W779" s="50">
        <v>0.75108447392056144</v>
      </c>
      <c r="X779" s="50">
        <v>0.75108447392056144</v>
      </c>
      <c r="Y779" s="50">
        <v>0.9800247385363684</v>
      </c>
      <c r="Z779" s="50">
        <v>0.9800247385363684</v>
      </c>
    </row>
    <row r="780" spans="19:26">
      <c r="S780" s="50">
        <v>0.9563203693822675</v>
      </c>
      <c r="T780" s="50">
        <v>0.94240424987519433</v>
      </c>
      <c r="U780" s="50">
        <v>1.0217126876970517</v>
      </c>
      <c r="V780" s="50">
        <v>0.95854972796446403</v>
      </c>
      <c r="W780" s="50">
        <v>0.76463641491954271</v>
      </c>
      <c r="X780" s="50">
        <v>0.76463641491954271</v>
      </c>
      <c r="Y780" s="50">
        <v>0.97359279939429311</v>
      </c>
      <c r="Z780" s="50">
        <v>0.97359279939429311</v>
      </c>
    </row>
    <row r="781" spans="19:26">
      <c r="S781" s="50">
        <v>0.9608195262927135</v>
      </c>
      <c r="T781" s="50">
        <v>0.94825094155475487</v>
      </c>
      <c r="U781" s="50">
        <v>0.97604004989852922</v>
      </c>
      <c r="V781" s="50">
        <v>0.9117719173893053</v>
      </c>
      <c r="W781" s="50">
        <v>0.71820583209967259</v>
      </c>
      <c r="X781" s="50">
        <v>0.71820583209967259</v>
      </c>
      <c r="Y781" s="50">
        <v>0.99002540901867819</v>
      </c>
      <c r="Z781" s="50">
        <v>0.99002540901867819</v>
      </c>
    </row>
    <row r="782" spans="19:26">
      <c r="S782" s="50">
        <v>0.96356983765640225</v>
      </c>
      <c r="T782" s="50">
        <v>0.95184645454414196</v>
      </c>
      <c r="U782" s="50">
        <v>0.89734368089516248</v>
      </c>
      <c r="V782" s="50">
        <v>0.84943748505902361</v>
      </c>
      <c r="W782" s="50">
        <v>0.7607071483732597</v>
      </c>
      <c r="X782" s="50">
        <v>0.7607071483732597</v>
      </c>
      <c r="Y782" s="50">
        <v>0.99947833875885039</v>
      </c>
      <c r="Z782" s="50">
        <v>0.99947833875885039</v>
      </c>
    </row>
    <row r="783" spans="19:26">
      <c r="S783" s="50">
        <v>0.96142017230396992</v>
      </c>
      <c r="T783" s="50">
        <v>0.94902718467336822</v>
      </c>
      <c r="U783" s="50">
        <v>0.8345923301678958</v>
      </c>
      <c r="V783" s="50">
        <v>0.88287405405269659</v>
      </c>
      <c r="W783" s="50">
        <v>0.6843158061064728</v>
      </c>
      <c r="X783" s="50">
        <v>0.6843158061064728</v>
      </c>
      <c r="Y783" s="50">
        <v>0.99397051530296099</v>
      </c>
      <c r="Z783" s="50">
        <v>0.99397051530296099</v>
      </c>
    </row>
    <row r="784" spans="19:26">
      <c r="S784" s="50">
        <v>0.96111605434902414</v>
      </c>
      <c r="T784" s="50">
        <v>0.9486464830363297</v>
      </c>
      <c r="U784" s="50">
        <v>1.0570696756104525</v>
      </c>
      <c r="V784" s="50">
        <v>0.92074274019460711</v>
      </c>
      <c r="W784" s="50">
        <v>0.76899204969836443</v>
      </c>
      <c r="X784" s="50">
        <v>0.76899204969836443</v>
      </c>
      <c r="Y784" s="50">
        <v>0.98916711920809097</v>
      </c>
      <c r="Z784" s="50">
        <v>0.98916711920809097</v>
      </c>
    </row>
    <row r="785" spans="19:26">
      <c r="S785" s="50">
        <v>0.96115346582093819</v>
      </c>
      <c r="T785" s="50">
        <v>0.9486940840332998</v>
      </c>
      <c r="U785" s="50">
        <v>1.0017828636935846</v>
      </c>
      <c r="V785" s="50">
        <v>0.97807191370848556</v>
      </c>
      <c r="W785" s="50">
        <v>0.7618861539176226</v>
      </c>
      <c r="X785" s="50">
        <v>0.7618861539176226</v>
      </c>
      <c r="Y785" s="50">
        <v>0.98956479811215348</v>
      </c>
      <c r="Z785" s="50">
        <v>0.98956479811215348</v>
      </c>
    </row>
    <row r="786" spans="19:26">
      <c r="S786" s="50">
        <v>0.95799670900431155</v>
      </c>
      <c r="T786" s="50">
        <v>0.94459254491508648</v>
      </c>
      <c r="U786" s="50">
        <v>1.1106988867965415</v>
      </c>
      <c r="V786" s="50">
        <v>0.98787084757949339</v>
      </c>
      <c r="W786" s="50">
        <v>0.81876910725887553</v>
      </c>
      <c r="X786" s="50">
        <v>0.81876910725887553</v>
      </c>
      <c r="Y786" s="50">
        <v>0.9771322655490976</v>
      </c>
      <c r="Z786" s="50">
        <v>0.9771322655490976</v>
      </c>
    </row>
    <row r="787" spans="19:26">
      <c r="S787" s="50">
        <v>0.95989310487731871</v>
      </c>
      <c r="T787" s="50">
        <v>0.94705246586144076</v>
      </c>
      <c r="U787" s="50">
        <v>0.91919597244022666</v>
      </c>
      <c r="V787" s="50">
        <v>0.809095668131389</v>
      </c>
      <c r="W787" s="50">
        <v>0.76608407332200512</v>
      </c>
      <c r="X787" s="50">
        <v>0.76608407332200512</v>
      </c>
      <c r="Y787" s="50">
        <v>0.98483934699934073</v>
      </c>
      <c r="Z787" s="50">
        <v>0.98483934699934073</v>
      </c>
    </row>
    <row r="788" spans="19:26">
      <c r="S788" s="50">
        <v>0.95298438867870849</v>
      </c>
      <c r="T788" s="50">
        <v>0.9380743373379764</v>
      </c>
      <c r="U788" s="50">
        <v>1.0396498579894711</v>
      </c>
      <c r="V788" s="50">
        <v>0.90518993251551483</v>
      </c>
      <c r="W788" s="50">
        <v>0.76500805767864433</v>
      </c>
      <c r="X788" s="50">
        <v>0.76500805767864433</v>
      </c>
      <c r="Y788" s="50">
        <v>0.96482815825549484</v>
      </c>
      <c r="Z788" s="50">
        <v>0.96482815825549484</v>
      </c>
    </row>
    <row r="789" spans="19:26">
      <c r="S789" s="50">
        <v>0.95874248264822914</v>
      </c>
      <c r="T789" s="50">
        <v>0.94555588874501206</v>
      </c>
      <c r="U789" s="50">
        <v>0.93398049578945785</v>
      </c>
      <c r="V789" s="50">
        <v>0.89595491500398494</v>
      </c>
      <c r="W789" s="50">
        <v>0.77505507292407649</v>
      </c>
      <c r="X789" s="50">
        <v>0.77505507292407649</v>
      </c>
      <c r="Y789" s="50">
        <v>0.98067735052357319</v>
      </c>
      <c r="Z789" s="50">
        <v>0.98067735052357319</v>
      </c>
    </row>
    <row r="790" spans="19:26">
      <c r="S790" s="50">
        <v>0.95116943006620858</v>
      </c>
      <c r="T790" s="50">
        <v>0.9357351824294019</v>
      </c>
      <c r="U790" s="50">
        <v>0.99386433712007394</v>
      </c>
      <c r="V790" s="50">
        <v>0.93396952912222642</v>
      </c>
      <c r="W790" s="50">
        <v>0.83350148343184904</v>
      </c>
      <c r="X790" s="50">
        <v>0.83350148343184904</v>
      </c>
      <c r="Y790" s="50">
        <v>0.95936259267666724</v>
      </c>
      <c r="Z790" s="50">
        <v>0.95936259267666724</v>
      </c>
    </row>
    <row r="791" spans="19:26">
      <c r="S791" s="50">
        <v>0.95696688870332769</v>
      </c>
      <c r="T791" s="50">
        <v>0.94325849434354236</v>
      </c>
      <c r="U791" s="50">
        <v>0.96931167583361466</v>
      </c>
      <c r="V791" s="50">
        <v>0.83035070066382066</v>
      </c>
      <c r="W791" s="50">
        <v>0.85251906378768405</v>
      </c>
      <c r="X791" s="50">
        <v>0.85251906378768405</v>
      </c>
      <c r="Y791" s="50">
        <v>0.97332918550878722</v>
      </c>
      <c r="Z791" s="50">
        <v>0.97332918550878722</v>
      </c>
    </row>
    <row r="792" spans="19:26">
      <c r="S792" s="50">
        <v>0.96244413094283454</v>
      </c>
      <c r="T792" s="50">
        <v>0.95036933016271352</v>
      </c>
      <c r="U792" s="50">
        <v>1.048851232378736</v>
      </c>
      <c r="V792" s="50">
        <v>0.94561722329108688</v>
      </c>
      <c r="W792" s="50">
        <v>0.71580469703311467</v>
      </c>
      <c r="X792" s="50">
        <v>0.71580469703311467</v>
      </c>
      <c r="Y792" s="50">
        <v>0.99665384476741226</v>
      </c>
      <c r="Z792" s="50">
        <v>0.99665384476741226</v>
      </c>
    </row>
    <row r="793" spans="19:26">
      <c r="S793" s="50">
        <v>0.96097450484626534</v>
      </c>
      <c r="T793" s="50">
        <v>0.94842510848899431</v>
      </c>
      <c r="U793" s="50">
        <v>0.94397653600150477</v>
      </c>
      <c r="V793" s="50">
        <v>0.93534823962211244</v>
      </c>
      <c r="W793" s="50">
        <v>0.60236614126067645</v>
      </c>
      <c r="X793" s="50">
        <v>0.60236614126067645</v>
      </c>
      <c r="Y793" s="50">
        <v>0.99716834383397024</v>
      </c>
      <c r="Z793" s="50">
        <v>0.99716834383397024</v>
      </c>
    </row>
    <row r="794" spans="19:26">
      <c r="S794" s="50">
        <v>0.95639185551465544</v>
      </c>
      <c r="T794" s="50">
        <v>0.94248237412401248</v>
      </c>
      <c r="U794" s="50">
        <v>0.96997086962128476</v>
      </c>
      <c r="V794" s="50">
        <v>1.1565142662377699</v>
      </c>
      <c r="W794" s="50">
        <v>0.69323575764953782</v>
      </c>
      <c r="X794" s="50">
        <v>0.69323575764953782</v>
      </c>
      <c r="Y794" s="50">
        <v>0.97605611933930037</v>
      </c>
      <c r="Z794" s="50">
        <v>0.97605611933930037</v>
      </c>
    </row>
    <row r="795" spans="19:26">
      <c r="S795" s="50">
        <v>0.96055276442355553</v>
      </c>
      <c r="T795" s="50">
        <v>0.94790707670466334</v>
      </c>
      <c r="U795" s="50">
        <v>1.031185627536356</v>
      </c>
      <c r="V795" s="50">
        <v>0.94709957578463766</v>
      </c>
      <c r="W795" s="50">
        <v>0.73856615910065271</v>
      </c>
      <c r="X795" s="50">
        <v>0.73856615910065271</v>
      </c>
      <c r="Y795" s="50">
        <v>0.98819805372009917</v>
      </c>
      <c r="Z795" s="50">
        <v>0.98819805372009917</v>
      </c>
    </row>
    <row r="796" spans="19:26">
      <c r="S796" s="50">
        <v>0.96231786854861867</v>
      </c>
      <c r="T796" s="50">
        <v>0.95021491664360513</v>
      </c>
      <c r="U796" s="50">
        <v>1.0048557614999178</v>
      </c>
      <c r="V796" s="50">
        <v>0.93626857077333536</v>
      </c>
      <c r="W796" s="50">
        <v>0.77653878974112012</v>
      </c>
      <c r="X796" s="50">
        <v>0.77653878974112012</v>
      </c>
      <c r="Y796" s="50">
        <v>0.99356467120476322</v>
      </c>
      <c r="Z796" s="50">
        <v>0.99356467120476322</v>
      </c>
    </row>
    <row r="797" spans="19:26">
      <c r="S797" s="50">
        <v>0.96238682394585651</v>
      </c>
      <c r="T797" s="50">
        <v>0.95030732020990005</v>
      </c>
      <c r="U797" s="50">
        <v>1.0412470386721084</v>
      </c>
      <c r="V797" s="50">
        <v>0.98157763420902999</v>
      </c>
      <c r="W797" s="50">
        <v>0.792820616384183</v>
      </c>
      <c r="X797" s="50">
        <v>0.792820616384183</v>
      </c>
      <c r="Y797" s="50">
        <v>0.99324958324427737</v>
      </c>
      <c r="Z797" s="50">
        <v>0.99324958324427737</v>
      </c>
    </row>
    <row r="798" spans="19:26">
      <c r="S798" s="50">
        <v>0.96075215132571545</v>
      </c>
      <c r="T798" s="50">
        <v>0.94816779470692569</v>
      </c>
      <c r="U798" s="50">
        <v>0.94713570956840298</v>
      </c>
      <c r="V798" s="50">
        <v>0.97957224790326836</v>
      </c>
      <c r="W798" s="50">
        <v>0.7433694768792265</v>
      </c>
      <c r="X798" s="50">
        <v>0.7433694768792265</v>
      </c>
      <c r="Y798" s="50">
        <v>0.98875320043323289</v>
      </c>
      <c r="Z798" s="50">
        <v>0.98875320043323289</v>
      </c>
    </row>
    <row r="799" spans="19:26">
      <c r="S799" s="50">
        <v>0.96144264897955423</v>
      </c>
      <c r="T799" s="50">
        <v>0.94906853758477094</v>
      </c>
      <c r="U799" s="50">
        <v>0.87223558637367671</v>
      </c>
      <c r="V799" s="50">
        <v>0.89273171289138498</v>
      </c>
      <c r="W799" s="50">
        <v>0.74671198475766665</v>
      </c>
      <c r="X799" s="50">
        <v>0.74671198475766665</v>
      </c>
      <c r="Y799" s="50">
        <v>0.99125052836999039</v>
      </c>
      <c r="Z799" s="50">
        <v>0.99125052836999039</v>
      </c>
    </row>
    <row r="800" spans="19:26">
      <c r="S800" s="50">
        <v>0.96348264804827033</v>
      </c>
      <c r="T800" s="50">
        <v>0.95173576046452457</v>
      </c>
      <c r="U800" s="50">
        <v>0.94151870612496125</v>
      </c>
      <c r="V800" s="50">
        <v>0.9021047911802913</v>
      </c>
      <c r="W800" s="50">
        <v>0.78136711874837295</v>
      </c>
      <c r="X800" s="50">
        <v>0.78136711874837295</v>
      </c>
      <c r="Y800" s="50">
        <v>0.99824329593716921</v>
      </c>
      <c r="Z800" s="50">
        <v>0.99824329593716921</v>
      </c>
    </row>
    <row r="801" spans="19:26">
      <c r="S801" s="50">
        <v>0.9594891709001615</v>
      </c>
      <c r="T801" s="50">
        <v>0.94652500308512089</v>
      </c>
      <c r="U801" s="50">
        <v>1.0008609858726598</v>
      </c>
      <c r="V801" s="50">
        <v>1.0080877246604205</v>
      </c>
      <c r="W801" s="50">
        <v>0.75792347922784653</v>
      </c>
      <c r="X801" s="50">
        <v>0.75792347922784653</v>
      </c>
      <c r="Y801" s="50">
        <v>0.98371533450540027</v>
      </c>
      <c r="Z801" s="50">
        <v>0.98371533450540027</v>
      </c>
    </row>
    <row r="802" spans="19:26">
      <c r="S802" s="50">
        <v>0.96417448653440951</v>
      </c>
      <c r="T802" s="50">
        <v>0.95264423390380915</v>
      </c>
      <c r="U802" s="50">
        <v>0.81471308765478068</v>
      </c>
      <c r="V802" s="50">
        <v>0.82317597879005666</v>
      </c>
      <c r="W802" s="50">
        <v>0.81800955984217061</v>
      </c>
      <c r="X802" s="50">
        <v>0.81800955984217061</v>
      </c>
      <c r="Y802" s="50">
        <v>0.99988364241960137</v>
      </c>
      <c r="Z802" s="50">
        <v>0.99988364241960137</v>
      </c>
    </row>
    <row r="803" spans="19:26">
      <c r="S803" s="50">
        <v>0.96169776291382458</v>
      </c>
      <c r="T803" s="50">
        <v>0.94941807293265223</v>
      </c>
      <c r="U803" s="50">
        <v>1.0220057817224804</v>
      </c>
      <c r="V803" s="50">
        <v>0.9367023344155434</v>
      </c>
      <c r="W803" s="50">
        <v>0.86323496486199358</v>
      </c>
      <c r="X803" s="50">
        <v>0.86323496486199358</v>
      </c>
      <c r="Y803" s="50">
        <v>0.98842987706222651</v>
      </c>
      <c r="Z803" s="50">
        <v>0.98842987706222651</v>
      </c>
    </row>
    <row r="804" spans="19:26">
      <c r="S804" s="50">
        <v>0.96413014652201423</v>
      </c>
      <c r="T804" s="50">
        <v>0.95259271246942023</v>
      </c>
      <c r="U804" s="50">
        <v>0.97709439530532693</v>
      </c>
      <c r="V804" s="50">
        <v>0.86944830469498358</v>
      </c>
      <c r="W804" s="50">
        <v>0.87098596565043473</v>
      </c>
      <c r="X804" s="50">
        <v>0.87098596565043473</v>
      </c>
      <c r="Y804" s="50">
        <v>0.99792493686187722</v>
      </c>
      <c r="Z804" s="50">
        <v>0.99792493686187722</v>
      </c>
    </row>
    <row r="805" spans="19:26">
      <c r="S805" s="50">
        <v>0.94251582240008425</v>
      </c>
      <c r="T805" s="50">
        <v>0.92453142539802158</v>
      </c>
      <c r="U805" s="50">
        <v>1.0033488123841288</v>
      </c>
      <c r="V805" s="50">
        <v>0.64141714418519402</v>
      </c>
      <c r="W805" s="50">
        <v>0.69928253641694249</v>
      </c>
      <c r="X805" s="50">
        <v>0.69928253641694249</v>
      </c>
      <c r="Y805" s="50">
        <v>0.94583567542531966</v>
      </c>
      <c r="Z805" s="50">
        <v>0.94583567542531966</v>
      </c>
    </row>
    <row r="806" spans="19:26">
      <c r="S806" s="50">
        <v>0.95939815049543553</v>
      </c>
      <c r="T806" s="50">
        <v>0.94640094308390721</v>
      </c>
      <c r="U806" s="50">
        <v>0.97198476099941167</v>
      </c>
      <c r="V806" s="50">
        <v>1.0486324460284704</v>
      </c>
      <c r="W806" s="50">
        <v>0.72786049048321977</v>
      </c>
      <c r="X806" s="50">
        <v>0.72786049048321977</v>
      </c>
      <c r="Y806" s="50">
        <v>0.98446999256840817</v>
      </c>
      <c r="Z806" s="50">
        <v>0.98446999256840817</v>
      </c>
    </row>
    <row r="807" spans="19:26">
      <c r="S807" s="50">
        <v>0.96319991108252245</v>
      </c>
      <c r="T807" s="50">
        <v>0.95137791495679958</v>
      </c>
      <c r="U807" s="50">
        <v>1.0678213561762842</v>
      </c>
      <c r="V807" s="50">
        <v>1.0412870891249419</v>
      </c>
      <c r="W807" s="50">
        <v>0.86713458829875401</v>
      </c>
      <c r="X807" s="50">
        <v>0.86713458829875401</v>
      </c>
      <c r="Y807" s="50">
        <v>0.99414898312375155</v>
      </c>
      <c r="Z807" s="50">
        <v>0.99414898312375155</v>
      </c>
    </row>
    <row r="808" spans="19:26">
      <c r="S808" s="50">
        <v>0.95994193606152856</v>
      </c>
      <c r="T808" s="50">
        <v>0.94711381621822277</v>
      </c>
      <c r="U808" s="50">
        <v>0.88696319290920922</v>
      </c>
      <c r="V808" s="50">
        <v>1.0197926236858428</v>
      </c>
      <c r="W808" s="50">
        <v>0.75300465739218969</v>
      </c>
      <c r="X808" s="50">
        <v>0.75300465739218969</v>
      </c>
      <c r="Y808" s="50">
        <v>0.98545932113102952</v>
      </c>
      <c r="Z808" s="50">
        <v>0.98545932113102952</v>
      </c>
    </row>
    <row r="809" spans="19:26">
      <c r="S809" s="50">
        <v>0.96106122971878993</v>
      </c>
      <c r="T809" s="50">
        <v>0.94856085527709522</v>
      </c>
      <c r="U809" s="50">
        <v>0.97505812651640278</v>
      </c>
      <c r="V809" s="50">
        <v>0.96704351035595992</v>
      </c>
      <c r="W809" s="50">
        <v>0.69249268413646281</v>
      </c>
      <c r="X809" s="50">
        <v>0.69249268413646281</v>
      </c>
      <c r="Y809" s="50">
        <v>0.99212856453698373</v>
      </c>
      <c r="Z809" s="50">
        <v>0.99212856453698373</v>
      </c>
    </row>
    <row r="810" spans="19:26">
      <c r="S810" s="50">
        <v>0.95830423254020736</v>
      </c>
      <c r="T810" s="50">
        <v>0.94498933603296731</v>
      </c>
      <c r="U810" s="50">
        <v>1.0413033665261364</v>
      </c>
      <c r="V810" s="50">
        <v>1.0270858737409763</v>
      </c>
      <c r="W810" s="50">
        <v>0.79775209186925822</v>
      </c>
      <c r="X810" s="50">
        <v>0.79775209186925822</v>
      </c>
      <c r="Y810" s="50">
        <v>0.9786287024894631</v>
      </c>
      <c r="Z810" s="50">
        <v>0.9786287024894631</v>
      </c>
    </row>
    <row r="811" spans="19:26">
      <c r="S811" s="50">
        <v>0.96339614358707037</v>
      </c>
      <c r="T811" s="50">
        <v>0.95161815800821692</v>
      </c>
      <c r="U811" s="50">
        <v>0.86924671221668048</v>
      </c>
      <c r="V811" s="50">
        <v>0.9423093416206958</v>
      </c>
      <c r="W811" s="50">
        <v>0.75125795234766424</v>
      </c>
      <c r="X811" s="50">
        <v>0.75125795234766424</v>
      </c>
      <c r="Y811" s="50">
        <v>0.99912613491077484</v>
      </c>
      <c r="Z811" s="50">
        <v>0.99912613491077484</v>
      </c>
    </row>
    <row r="812" spans="19:26">
      <c r="S812" s="50">
        <v>0.96291899781736967</v>
      </c>
      <c r="T812" s="50">
        <v>0.95100887826793856</v>
      </c>
      <c r="U812" s="50">
        <v>1.0707226004982315</v>
      </c>
      <c r="V812" s="50">
        <v>0.94459768562382151</v>
      </c>
      <c r="W812" s="50">
        <v>0.84655506414553683</v>
      </c>
      <c r="X812" s="50">
        <v>0.84655506414553683</v>
      </c>
      <c r="Y812" s="50">
        <v>0.99362421451779959</v>
      </c>
      <c r="Z812" s="50">
        <v>0.99362421451779959</v>
      </c>
    </row>
    <row r="813" spans="19:26">
      <c r="S813" s="50">
        <v>0.96184592318752238</v>
      </c>
      <c r="T813" s="50">
        <v>0.94959479002332514</v>
      </c>
      <c r="U813" s="50">
        <v>1.0296758929226475</v>
      </c>
      <c r="V813" s="50">
        <v>0.91418374316038442</v>
      </c>
      <c r="W813" s="50">
        <v>0.74870980192277004</v>
      </c>
      <c r="X813" s="50">
        <v>0.74870980192277004</v>
      </c>
      <c r="Y813" s="50">
        <v>0.99275568122313818</v>
      </c>
      <c r="Z813" s="50">
        <v>0.99275568122313818</v>
      </c>
    </row>
    <row r="814" spans="19:26">
      <c r="S814" s="50">
        <v>0.96354776843901235</v>
      </c>
      <c r="T814" s="50">
        <v>0.95182169851528775</v>
      </c>
      <c r="U814" s="50">
        <v>1.0082080279311176</v>
      </c>
      <c r="V814" s="50">
        <v>0.96101065251127771</v>
      </c>
      <c r="W814" s="50">
        <v>0.78765654612378799</v>
      </c>
      <c r="X814" s="50">
        <v>0.78765654612378799</v>
      </c>
      <c r="Y814" s="50">
        <v>0.99827836754115462</v>
      </c>
      <c r="Z814" s="50">
        <v>0.99827836754115462</v>
      </c>
    </row>
    <row r="815" spans="19:26">
      <c r="S815" s="50">
        <v>0.96433019783104434</v>
      </c>
      <c r="T815" s="50">
        <v>0.95285177662420051</v>
      </c>
      <c r="U815" s="50">
        <v>0.85908232184612976</v>
      </c>
      <c r="V815" s="50">
        <v>0.87429531493059853</v>
      </c>
      <c r="W815" s="50">
        <v>0.85185278932785069</v>
      </c>
      <c r="X815" s="50">
        <v>0.85185278932785069</v>
      </c>
      <c r="Y815" s="50">
        <v>0.99940138933950373</v>
      </c>
      <c r="Z815" s="50">
        <v>0.99940138933950373</v>
      </c>
    </row>
    <row r="816" spans="19:26">
      <c r="S816" s="50">
        <v>0.96253755735938984</v>
      </c>
      <c r="T816" s="50">
        <v>0.95049943572137208</v>
      </c>
      <c r="U816" s="50">
        <v>0.89376266583198571</v>
      </c>
      <c r="V816" s="50">
        <v>0.82712804360758041</v>
      </c>
      <c r="W816" s="50">
        <v>0.76312433541379443</v>
      </c>
      <c r="X816" s="50">
        <v>0.76312433541379443</v>
      </c>
      <c r="Y816" s="50">
        <v>0.99497730088342484</v>
      </c>
      <c r="Z816" s="50">
        <v>0.99497730088342484</v>
      </c>
    </row>
    <row r="817" spans="19:26">
      <c r="S817" s="50">
        <v>0.96136089043643447</v>
      </c>
      <c r="T817" s="50">
        <v>0.94896977076462541</v>
      </c>
      <c r="U817" s="50">
        <v>0.99180647606074646</v>
      </c>
      <c r="V817" s="50">
        <v>0.90771160011617658</v>
      </c>
      <c r="W817" s="50">
        <v>0.79544727327314468</v>
      </c>
      <c r="X817" s="50">
        <v>0.79544727327314468</v>
      </c>
      <c r="Y817" s="50">
        <v>0.98918124719888068</v>
      </c>
      <c r="Z817" s="50">
        <v>0.98918124719888068</v>
      </c>
    </row>
    <row r="818" spans="19:26">
      <c r="S818" s="50">
        <v>0.96333924313048624</v>
      </c>
      <c r="T818" s="50">
        <v>0.95154477233322865</v>
      </c>
      <c r="U818" s="50">
        <v>0.95838689383390419</v>
      </c>
      <c r="V818" s="50">
        <v>1.0015631843118475</v>
      </c>
      <c r="W818" s="50">
        <v>0.75685109727243094</v>
      </c>
      <c r="X818" s="50">
        <v>0.75685109727243094</v>
      </c>
      <c r="Y818" s="50">
        <v>0.99863331393402321</v>
      </c>
      <c r="Z818" s="50">
        <v>0.99863331393402321</v>
      </c>
    </row>
    <row r="819" spans="19:26">
      <c r="S819" s="50">
        <v>0.95898888303191765</v>
      </c>
      <c r="T819" s="50">
        <v>0.94587956140845231</v>
      </c>
      <c r="U819" s="50">
        <v>0.93890163588320641</v>
      </c>
      <c r="V819" s="50">
        <v>0.97544141018034525</v>
      </c>
      <c r="W819" s="50">
        <v>0.79323948194483951</v>
      </c>
      <c r="X819" s="50">
        <v>0.79323948194483951</v>
      </c>
      <c r="Y819" s="50">
        <v>0.98094488086359599</v>
      </c>
      <c r="Z819" s="50">
        <v>0.98094488086359599</v>
      </c>
    </row>
    <row r="820" spans="19:26">
      <c r="S820" s="50">
        <v>0.96406135671354454</v>
      </c>
      <c r="T820" s="50">
        <v>0.95249516336242479</v>
      </c>
      <c r="U820" s="50">
        <v>0.99357295136906276</v>
      </c>
      <c r="V820" s="50">
        <v>1.0155941011637748</v>
      </c>
      <c r="W820" s="50">
        <v>0.80798314028437601</v>
      </c>
      <c r="X820" s="50">
        <v>0.80798314028437601</v>
      </c>
      <c r="Y820" s="50">
        <v>0.99975237991628707</v>
      </c>
      <c r="Z820" s="50">
        <v>0.99975237991628707</v>
      </c>
    </row>
    <row r="821" spans="19:26">
      <c r="S821" s="50">
        <v>0.96242243865688648</v>
      </c>
      <c r="T821" s="50">
        <v>0.95035832119298846</v>
      </c>
      <c r="U821" s="50">
        <v>0.89816829106563811</v>
      </c>
      <c r="V821" s="50">
        <v>0.8279498415372144</v>
      </c>
      <c r="W821" s="50">
        <v>0.82538004369170936</v>
      </c>
      <c r="X821" s="50">
        <v>0.82538004369170936</v>
      </c>
      <c r="Y821" s="50">
        <v>0.99230159153909525</v>
      </c>
      <c r="Z821" s="50">
        <v>0.99230159153909525</v>
      </c>
    </row>
    <row r="822" spans="19:26">
      <c r="S822" s="50">
        <v>0.96112141358387082</v>
      </c>
      <c r="T822" s="50">
        <v>0.94865845092071777</v>
      </c>
      <c r="U822" s="50">
        <v>0.95002701093189434</v>
      </c>
      <c r="V822" s="50">
        <v>0.83833733734800608</v>
      </c>
      <c r="W822" s="50">
        <v>0.80119056652518872</v>
      </c>
      <c r="X822" s="50">
        <v>0.80119056652518872</v>
      </c>
      <c r="Y822" s="50">
        <v>0.98810496885864996</v>
      </c>
      <c r="Z822" s="50">
        <v>0.98810496885864996</v>
      </c>
    </row>
    <row r="823" spans="19:26">
      <c r="S823" s="50">
        <v>0.95091513281927209</v>
      </c>
      <c r="T823" s="50">
        <v>0.93538667585166591</v>
      </c>
      <c r="U823" s="50">
        <v>0.979774328820327</v>
      </c>
      <c r="V823" s="50">
        <v>0.87097796215858025</v>
      </c>
      <c r="W823" s="50">
        <v>0.73395650745609098</v>
      </c>
      <c r="X823" s="50">
        <v>0.73395650745609098</v>
      </c>
      <c r="Y823" s="50">
        <v>0.9607664750319117</v>
      </c>
      <c r="Z823" s="50">
        <v>0.9607664750319117</v>
      </c>
    </row>
    <row r="824" spans="19:26">
      <c r="S824" s="50">
        <v>0.95063613471703101</v>
      </c>
      <c r="T824" s="50">
        <v>0.93505171541920873</v>
      </c>
      <c r="U824" s="50">
        <v>0.9949270547029242</v>
      </c>
      <c r="V824" s="50">
        <v>0.86567460857777645</v>
      </c>
      <c r="W824" s="50">
        <v>0.87726426339546171</v>
      </c>
      <c r="X824" s="50">
        <v>0.87726426339546171</v>
      </c>
      <c r="Y824" s="50">
        <v>0.95756875317222723</v>
      </c>
      <c r="Z824" s="50">
        <v>0.95756875317222723</v>
      </c>
    </row>
    <row r="825" spans="19:26">
      <c r="S825" s="50">
        <v>0.96061253464471374</v>
      </c>
      <c r="T825" s="50">
        <v>0.94799034865453102</v>
      </c>
      <c r="U825" s="50">
        <v>1.0087063684796851</v>
      </c>
      <c r="V825" s="50">
        <v>0.93657578340860725</v>
      </c>
      <c r="W825" s="50">
        <v>0.76971963057130144</v>
      </c>
      <c r="X825" s="50">
        <v>0.76971963057130144</v>
      </c>
      <c r="Y825" s="50">
        <v>0.9872808165822744</v>
      </c>
      <c r="Z825" s="50">
        <v>0.9872808165822744</v>
      </c>
    </row>
    <row r="826" spans="19:26">
      <c r="S826" s="50">
        <v>0.96321482842778494</v>
      </c>
      <c r="T826" s="50">
        <v>0.95138455264081678</v>
      </c>
      <c r="U826" s="50">
        <v>0.8628558735583981</v>
      </c>
      <c r="V826" s="50">
        <v>0.91852133859948681</v>
      </c>
      <c r="W826" s="50">
        <v>0.77088134354682059</v>
      </c>
      <c r="X826" s="50">
        <v>0.77088134354682059</v>
      </c>
      <c r="Y826" s="50">
        <v>0.99751003160024987</v>
      </c>
      <c r="Z826" s="50">
        <v>0.99751003160024987</v>
      </c>
    </row>
    <row r="827" spans="19:26">
      <c r="S827" s="50">
        <v>0.96262006905937458</v>
      </c>
      <c r="T827" s="50">
        <v>0.95061754957559885</v>
      </c>
      <c r="U827" s="50">
        <v>1.0021086387289615</v>
      </c>
      <c r="V827" s="50">
        <v>0.97636311208062543</v>
      </c>
      <c r="W827" s="50">
        <v>0.8361781846477857</v>
      </c>
      <c r="X827" s="50">
        <v>0.8361781846477857</v>
      </c>
      <c r="Y827" s="50">
        <v>0.99274644084738806</v>
      </c>
      <c r="Z827" s="50">
        <v>0.99274644084738806</v>
      </c>
    </row>
    <row r="828" spans="19:26">
      <c r="S828" s="50">
        <v>0.96211878850111843</v>
      </c>
      <c r="T828" s="50">
        <v>0.94994479953325328</v>
      </c>
      <c r="U828" s="50">
        <v>0.9369008659571294</v>
      </c>
      <c r="V828" s="50">
        <v>1.1204582503214959</v>
      </c>
      <c r="W828" s="50">
        <v>0.7156687258703196</v>
      </c>
      <c r="X828" s="50">
        <v>0.7156687258703196</v>
      </c>
      <c r="Y828" s="50">
        <v>0.99529870722516889</v>
      </c>
      <c r="Z828" s="50">
        <v>0.99529870722516889</v>
      </c>
    </row>
    <row r="829" spans="19:26">
      <c r="S829" s="50">
        <v>0.95481510913499867</v>
      </c>
      <c r="T829" s="50">
        <v>0.94046032961753045</v>
      </c>
      <c r="U829" s="50">
        <v>0.98130401163523007</v>
      </c>
      <c r="V829" s="50">
        <v>0.99297439332080906</v>
      </c>
      <c r="W829" s="50">
        <v>0.82886178235171015</v>
      </c>
      <c r="X829" s="50">
        <v>0.82886178235171015</v>
      </c>
      <c r="Y829" s="50">
        <v>0.96800463898477129</v>
      </c>
      <c r="Z829" s="50">
        <v>0.96800463898477129</v>
      </c>
    </row>
    <row r="830" spans="19:26">
      <c r="S830" s="50">
        <v>0.95651309304616627</v>
      </c>
      <c r="T830" s="50">
        <v>0.94262785160285034</v>
      </c>
      <c r="U830" s="50">
        <v>0.87272601182037113</v>
      </c>
      <c r="V830" s="50">
        <v>0.88814719803201359</v>
      </c>
      <c r="W830" s="50">
        <v>0.64561571550646579</v>
      </c>
      <c r="X830" s="50">
        <v>0.64561571550646579</v>
      </c>
      <c r="Y830" s="50">
        <v>0.97836250777845668</v>
      </c>
      <c r="Z830" s="50">
        <v>0.97836250777845668</v>
      </c>
    </row>
    <row r="831" spans="19:26">
      <c r="S831" s="50">
        <v>0.95952813222110112</v>
      </c>
      <c r="T831" s="50">
        <v>0.94658590018100908</v>
      </c>
      <c r="U831" s="50">
        <v>0.98323509841195555</v>
      </c>
      <c r="V831" s="50">
        <v>1.0266817257661702</v>
      </c>
      <c r="W831" s="50">
        <v>0.82202596390987037</v>
      </c>
      <c r="X831" s="50">
        <v>0.82202596390987037</v>
      </c>
      <c r="Y831" s="50">
        <v>0.98192209443390255</v>
      </c>
      <c r="Z831" s="50">
        <v>0.98192209443390255</v>
      </c>
    </row>
    <row r="832" spans="19:26">
      <c r="S832" s="50">
        <v>0.95879809718497666</v>
      </c>
      <c r="T832" s="50">
        <v>0.94562524310632134</v>
      </c>
      <c r="U832" s="50">
        <v>1.044535932989326</v>
      </c>
      <c r="V832" s="50">
        <v>0.89479183828124687</v>
      </c>
      <c r="W832" s="50">
        <v>0.75756544333166431</v>
      </c>
      <c r="X832" s="50">
        <v>0.75756544333166431</v>
      </c>
      <c r="Y832" s="50">
        <v>0.9814056487171765</v>
      </c>
      <c r="Z832" s="50">
        <v>0.9814056487171765</v>
      </c>
    </row>
    <row r="833" spans="19:26">
      <c r="S833" s="50">
        <v>0.96379416695966913</v>
      </c>
      <c r="T833" s="50">
        <v>0.95214162617035791</v>
      </c>
      <c r="U833" s="50">
        <v>1.1160022613665799</v>
      </c>
      <c r="V833" s="50">
        <v>0.94494301766158084</v>
      </c>
      <c r="W833" s="50">
        <v>0.77537530431409207</v>
      </c>
      <c r="X833" s="50">
        <v>0.77537530431409207</v>
      </c>
      <c r="Y833" s="50">
        <v>0.99985151360771185</v>
      </c>
      <c r="Z833" s="50">
        <v>0.99985151360771185</v>
      </c>
    </row>
    <row r="834" spans="19:26">
      <c r="S834" s="50">
        <v>0.9627926269106829</v>
      </c>
      <c r="T834" s="50">
        <v>0.95083629359542132</v>
      </c>
      <c r="U834" s="50">
        <v>1.0040466917588016</v>
      </c>
      <c r="V834" s="50">
        <v>1.0137102407485843</v>
      </c>
      <c r="W834" s="50">
        <v>0.78941623918989501</v>
      </c>
      <c r="X834" s="50">
        <v>0.78941623918989501</v>
      </c>
      <c r="Y834" s="50">
        <v>0.99502130961252222</v>
      </c>
      <c r="Z834" s="50">
        <v>0.99502130961252222</v>
      </c>
    </row>
    <row r="835" spans="19:26">
      <c r="S835" s="50">
        <v>0.9615183893956325</v>
      </c>
      <c r="T835" s="50">
        <v>0.94915958480314244</v>
      </c>
      <c r="U835" s="50">
        <v>0.96445714150988426</v>
      </c>
      <c r="V835" s="50">
        <v>0.99869791494246229</v>
      </c>
      <c r="W835" s="50">
        <v>0.70513366031723634</v>
      </c>
      <c r="X835" s="50">
        <v>0.70513366031723634</v>
      </c>
      <c r="Y835" s="50">
        <v>0.99334468883346461</v>
      </c>
      <c r="Z835" s="50">
        <v>0.99334468883346461</v>
      </c>
    </row>
    <row r="836" spans="19:26">
      <c r="S836" s="50">
        <v>0.9603970664268846</v>
      </c>
      <c r="T836" s="50">
        <v>0.94769756883251977</v>
      </c>
      <c r="U836" s="50">
        <v>0.92710738616006583</v>
      </c>
      <c r="V836" s="50">
        <v>1.1964609518987133</v>
      </c>
      <c r="W836" s="50">
        <v>0.70436860421191205</v>
      </c>
      <c r="X836" s="50">
        <v>0.70436860421191205</v>
      </c>
      <c r="Y836" s="50">
        <v>0.98902882301654216</v>
      </c>
      <c r="Z836" s="50">
        <v>0.98902882301654216</v>
      </c>
    </row>
    <row r="837" spans="19:26">
      <c r="S837" s="50">
        <v>0.96349002584588583</v>
      </c>
      <c r="T837" s="50">
        <v>0.95175141930369711</v>
      </c>
      <c r="U837" s="50">
        <v>1.0007923634168681</v>
      </c>
      <c r="V837" s="50">
        <v>0.96607037528228723</v>
      </c>
      <c r="W837" s="50">
        <v>0.82498697243370922</v>
      </c>
      <c r="X837" s="50">
        <v>0.82498697243370922</v>
      </c>
      <c r="Y837" s="50">
        <v>0.99667414972512969</v>
      </c>
      <c r="Z837" s="50">
        <v>0.99667414972512969</v>
      </c>
    </row>
    <row r="838" spans="19:26">
      <c r="S838" s="50">
        <v>0.9641319472107609</v>
      </c>
      <c r="T838" s="50">
        <v>0.9525895888133179</v>
      </c>
      <c r="U838" s="50">
        <v>0.92898100592920507</v>
      </c>
      <c r="V838" s="50">
        <v>0.91875124814261577</v>
      </c>
      <c r="W838" s="50">
        <v>0.82510313621260201</v>
      </c>
      <c r="X838" s="50">
        <v>0.82510313621260201</v>
      </c>
      <c r="Y838" s="50">
        <v>0.99944060152642478</v>
      </c>
      <c r="Z838" s="50">
        <v>0.99944060152642478</v>
      </c>
    </row>
    <row r="839" spans="19:26">
      <c r="S839" s="50">
        <v>0.95425105001828814</v>
      </c>
      <c r="T839" s="50">
        <v>0.93972116589333088</v>
      </c>
      <c r="U839" s="50">
        <v>0.95115252260152339</v>
      </c>
      <c r="V839" s="50">
        <v>0.98297687869476202</v>
      </c>
      <c r="W839" s="50">
        <v>0.7859522925504161</v>
      </c>
      <c r="X839" s="50">
        <v>0.7859522925504161</v>
      </c>
      <c r="Y839" s="50">
        <v>0.96748383926192549</v>
      </c>
      <c r="Z839" s="50">
        <v>0.96748383926192549</v>
      </c>
    </row>
    <row r="840" spans="19:26">
      <c r="S840" s="50">
        <v>0.95808891473355695</v>
      </c>
      <c r="T840" s="50">
        <v>0.9446903398888421</v>
      </c>
      <c r="U840" s="50">
        <v>1.0677443809854119</v>
      </c>
      <c r="V840" s="50">
        <v>0.91167478152984471</v>
      </c>
      <c r="W840" s="50">
        <v>0.69730643993031693</v>
      </c>
      <c r="X840" s="50">
        <v>0.69730643993031693</v>
      </c>
      <c r="Y840" s="50">
        <v>0.98122466206568959</v>
      </c>
      <c r="Z840" s="50">
        <v>0.98122466206568959</v>
      </c>
    </row>
    <row r="841" spans="19:26">
      <c r="S841" s="50">
        <v>0.95895781460266083</v>
      </c>
      <c r="T841" s="50">
        <v>0.94583929402147982</v>
      </c>
      <c r="U841" s="50">
        <v>0.87240654497660175</v>
      </c>
      <c r="V841" s="50">
        <v>1.021323865231238</v>
      </c>
      <c r="W841" s="50">
        <v>0.79432095517837475</v>
      </c>
      <c r="X841" s="50">
        <v>0.79432095517837475</v>
      </c>
      <c r="Y841" s="50">
        <v>0.98081260492005418</v>
      </c>
      <c r="Z841" s="50">
        <v>0.98081260492005418</v>
      </c>
    </row>
    <row r="842" spans="19:26">
      <c r="S842" s="50">
        <v>0.96317749920642459</v>
      </c>
      <c r="T842" s="50">
        <v>0.95134207298385443</v>
      </c>
      <c r="U842" s="50">
        <v>0.94675033706147693</v>
      </c>
      <c r="V842" s="50">
        <v>0.87165490901435549</v>
      </c>
      <c r="W842" s="50">
        <v>0.81433759550695395</v>
      </c>
      <c r="X842" s="50">
        <v>0.81433759550695395</v>
      </c>
      <c r="Y842" s="50">
        <v>0.99572770634941365</v>
      </c>
      <c r="Z842" s="50">
        <v>0.99572770634941365</v>
      </c>
    </row>
    <row r="843" spans="19:26">
      <c r="S843" s="50">
        <v>0.95391149076627002</v>
      </c>
      <c r="T843" s="50">
        <v>0.93926987329740175</v>
      </c>
      <c r="U843" s="50">
        <v>0.82308267848113359</v>
      </c>
      <c r="V843" s="50">
        <v>0.96758230159450886</v>
      </c>
      <c r="W843" s="50">
        <v>0.73139925312137544</v>
      </c>
      <c r="X843" s="50">
        <v>0.73139925312137544</v>
      </c>
      <c r="Y843" s="50">
        <v>0.96797513195837315</v>
      </c>
      <c r="Z843" s="50">
        <v>0.96797513195837315</v>
      </c>
    </row>
    <row r="844" spans="19:26">
      <c r="S844" s="50">
        <v>0.96415169395210998</v>
      </c>
      <c r="T844" s="50">
        <v>0.95261435257521088</v>
      </c>
      <c r="U844" s="50">
        <v>0.87482891416991915</v>
      </c>
      <c r="V844" s="50">
        <v>0.9016556835542483</v>
      </c>
      <c r="W844" s="50">
        <v>0.81713581660305812</v>
      </c>
      <c r="X844" s="50">
        <v>0.81713581660305812</v>
      </c>
      <c r="Y844" s="50">
        <v>0.99981440338518379</v>
      </c>
      <c r="Z844" s="50">
        <v>0.99981440338518379</v>
      </c>
    </row>
    <row r="845" spans="19:26">
      <c r="S845" s="50">
        <v>0.95893326501425069</v>
      </c>
      <c r="T845" s="50">
        <v>0.94582093300452441</v>
      </c>
      <c r="U845" s="50">
        <v>1.0832517196920637</v>
      </c>
      <c r="V845" s="50">
        <v>0.98884860347943226</v>
      </c>
      <c r="W845" s="50">
        <v>0.89309965540989622</v>
      </c>
      <c r="X845" s="50">
        <v>0.89309965540989622</v>
      </c>
      <c r="Y845" s="50">
        <v>0.97833562285813669</v>
      </c>
      <c r="Z845" s="50">
        <v>0.97833562285813669</v>
      </c>
    </row>
    <row r="846" spans="19:26">
      <c r="S846" s="50">
        <v>0.96148291948186926</v>
      </c>
      <c r="T846" s="50">
        <v>0.94910871696688071</v>
      </c>
      <c r="U846" s="50">
        <v>0.91217546064641408</v>
      </c>
      <c r="V846" s="50">
        <v>0.78573590478767852</v>
      </c>
      <c r="W846" s="50">
        <v>0.68290204995783932</v>
      </c>
      <c r="X846" s="50">
        <v>0.68290204995783932</v>
      </c>
      <c r="Y846" s="50">
        <v>0.9942985708364821</v>
      </c>
      <c r="Z846" s="50">
        <v>0.9942985708364821</v>
      </c>
    </row>
    <row r="847" spans="19:26">
      <c r="S847" s="50">
        <v>0.9620327524935085</v>
      </c>
      <c r="T847" s="50">
        <v>0.94983907189843608</v>
      </c>
      <c r="U847" s="50">
        <v>0.8750843098883232</v>
      </c>
      <c r="V847" s="50">
        <v>0.99740892926599101</v>
      </c>
      <c r="W847" s="50">
        <v>0.75221219978028142</v>
      </c>
      <c r="X847" s="50">
        <v>0.75221219978028142</v>
      </c>
      <c r="Y847" s="50">
        <v>0.99336136109538309</v>
      </c>
      <c r="Z847" s="50">
        <v>0.99336136109538309</v>
      </c>
    </row>
    <row r="848" spans="19:26">
      <c r="S848" s="50">
        <v>0.96395863882440458</v>
      </c>
      <c r="T848" s="50">
        <v>0.95236596494669523</v>
      </c>
      <c r="U848" s="50">
        <v>0.94911178650980854</v>
      </c>
      <c r="V848" s="50">
        <v>1.0063674665576436</v>
      </c>
      <c r="W848" s="50">
        <v>0.84688830340436949</v>
      </c>
      <c r="X848" s="50">
        <v>0.84688830340436949</v>
      </c>
      <c r="Y848" s="50">
        <v>0.99794522863272861</v>
      </c>
      <c r="Z848" s="50">
        <v>0.99794522863272861</v>
      </c>
    </row>
    <row r="849" spans="19:26">
      <c r="S849" s="50">
        <v>0.96232491481355031</v>
      </c>
      <c r="T849" s="50">
        <v>0.95021399847704224</v>
      </c>
      <c r="U849" s="50">
        <v>0.90906415886501635</v>
      </c>
      <c r="V849" s="50">
        <v>0.89984720842919308</v>
      </c>
      <c r="W849" s="50">
        <v>0.71703838459479996</v>
      </c>
      <c r="X849" s="50">
        <v>0.71703838459479996</v>
      </c>
      <c r="Y849" s="50">
        <v>0.9960932114037927</v>
      </c>
      <c r="Z849" s="50">
        <v>0.9960932114037927</v>
      </c>
    </row>
    <row r="850" spans="19:26">
      <c r="S850" s="50">
        <v>0.96294811178241912</v>
      </c>
      <c r="T850" s="50">
        <v>0.9510350069611716</v>
      </c>
      <c r="U850" s="50">
        <v>0.88212081172675461</v>
      </c>
      <c r="V850" s="50">
        <v>0.98159340911645399</v>
      </c>
      <c r="W850" s="50">
        <v>0.76187066265548076</v>
      </c>
      <c r="X850" s="50">
        <v>0.76187066265548076</v>
      </c>
      <c r="Y850" s="50">
        <v>0.99674227276205629</v>
      </c>
      <c r="Z850" s="50">
        <v>0.99674227276205629</v>
      </c>
    </row>
    <row r="851" spans="19:26">
      <c r="S851" s="50">
        <v>0.96024987059066147</v>
      </c>
      <c r="T851" s="50">
        <v>0.94753497243959606</v>
      </c>
      <c r="U851" s="50">
        <v>0.90881559526083311</v>
      </c>
      <c r="V851" s="50">
        <v>0.83268725417784339</v>
      </c>
      <c r="W851" s="50">
        <v>0.89353517674758087</v>
      </c>
      <c r="X851" s="50">
        <v>0.89353517674758087</v>
      </c>
      <c r="Y851" s="50">
        <v>0.98258413252165289</v>
      </c>
      <c r="Z851" s="50">
        <v>0.98258413252165289</v>
      </c>
    </row>
    <row r="852" spans="19:26">
      <c r="S852" s="50">
        <v>0.96220013560313344</v>
      </c>
      <c r="T852" s="50">
        <v>0.95006548101580091</v>
      </c>
      <c r="U852" s="50">
        <v>0.81442415072762198</v>
      </c>
      <c r="V852" s="50">
        <v>0.92882670063776052</v>
      </c>
      <c r="W852" s="50">
        <v>0.80453700522664617</v>
      </c>
      <c r="X852" s="50">
        <v>0.80453700522664617</v>
      </c>
      <c r="Y852" s="50">
        <v>0.9921047157788595</v>
      </c>
      <c r="Z852" s="50">
        <v>0.9921047157788595</v>
      </c>
    </row>
    <row r="853" spans="19:26">
      <c r="S853" s="50">
        <v>0.96026905299836829</v>
      </c>
      <c r="T853" s="50">
        <v>0.94754236926214008</v>
      </c>
      <c r="U853" s="50">
        <v>0.95012245020732766</v>
      </c>
      <c r="V853" s="50">
        <v>0.9515559560052762</v>
      </c>
      <c r="W853" s="50">
        <v>0.76709756816965435</v>
      </c>
      <c r="X853" s="50">
        <v>0.76709756816965435</v>
      </c>
      <c r="Y853" s="50">
        <v>0.98613267070449218</v>
      </c>
      <c r="Z853" s="50">
        <v>0.98613267070449218</v>
      </c>
    </row>
    <row r="854" spans="19:26">
      <c r="S854" s="50">
        <v>0.96197463248256154</v>
      </c>
      <c r="T854" s="50">
        <v>0.94977286394258964</v>
      </c>
      <c r="U854" s="50">
        <v>0.88151241694800841</v>
      </c>
      <c r="V854" s="50">
        <v>0.89889013313343913</v>
      </c>
      <c r="W854" s="50">
        <v>0.81520134818038548</v>
      </c>
      <c r="X854" s="50">
        <v>0.81520134818038548</v>
      </c>
      <c r="Y854" s="50">
        <v>0.99087763997639677</v>
      </c>
      <c r="Z854" s="50">
        <v>0.99087763997639677</v>
      </c>
    </row>
    <row r="855" spans="19:26">
      <c r="S855" s="50">
        <v>0.95492139090558337</v>
      </c>
      <c r="T855" s="50">
        <v>0.94059668762674697</v>
      </c>
      <c r="U855" s="50">
        <v>1.0039178540657103</v>
      </c>
      <c r="V855" s="50">
        <v>0.92658977210312632</v>
      </c>
      <c r="W855" s="50">
        <v>0.81881379537976251</v>
      </c>
      <c r="X855" s="50">
        <v>0.81881379537976251</v>
      </c>
      <c r="Y855" s="50">
        <v>0.96848582015167572</v>
      </c>
      <c r="Z855" s="50">
        <v>0.96848582015167572</v>
      </c>
    </row>
    <row r="856" spans="19:26">
      <c r="S856" s="50">
        <v>0.96410024828792351</v>
      </c>
      <c r="T856" s="50">
        <v>0.95254679503010731</v>
      </c>
      <c r="U856" s="50">
        <v>0.97846487175712704</v>
      </c>
      <c r="V856" s="50">
        <v>1.0438803985094463</v>
      </c>
      <c r="W856" s="50">
        <v>0.81431199344787575</v>
      </c>
      <c r="X856" s="50">
        <v>0.81431199344787575</v>
      </c>
      <c r="Y856" s="50">
        <v>0.99968990361341703</v>
      </c>
      <c r="Z856" s="50">
        <v>0.99968990361341703</v>
      </c>
    </row>
    <row r="857" spans="19:26">
      <c r="S857" s="50">
        <v>0.96236806628501026</v>
      </c>
      <c r="T857" s="50">
        <v>0.9502853070183358</v>
      </c>
      <c r="U857" s="50">
        <v>0.98359378940884001</v>
      </c>
      <c r="V857" s="50">
        <v>0.91998682724334424</v>
      </c>
      <c r="W857" s="50">
        <v>0.81003415089453323</v>
      </c>
      <c r="X857" s="50">
        <v>0.81003415089453323</v>
      </c>
      <c r="Y857" s="50">
        <v>0.99258438858388709</v>
      </c>
      <c r="Z857" s="50">
        <v>0.99258438858388709</v>
      </c>
    </row>
    <row r="858" spans="19:26">
      <c r="S858" s="50">
        <v>0.95529678201806489</v>
      </c>
      <c r="T858" s="50">
        <v>0.94107871107919694</v>
      </c>
      <c r="U858" s="50">
        <v>0.88316514703278648</v>
      </c>
      <c r="V858" s="50">
        <v>0.98099573107709026</v>
      </c>
      <c r="W858" s="50">
        <v>0.78706938502568846</v>
      </c>
      <c r="X858" s="50">
        <v>0.78706938502568846</v>
      </c>
      <c r="Y858" s="50">
        <v>0.97018621416919981</v>
      </c>
      <c r="Z858" s="50">
        <v>0.97018621416919981</v>
      </c>
    </row>
    <row r="859" spans="19:26">
      <c r="S859" s="50">
        <v>0.9596417079266214</v>
      </c>
      <c r="T859" s="50">
        <v>0.94671629976191574</v>
      </c>
      <c r="U859" s="50">
        <v>1.0351622011579193</v>
      </c>
      <c r="V859" s="50">
        <v>1.0282306162647898</v>
      </c>
      <c r="W859" s="50">
        <v>0.71846864604014915</v>
      </c>
      <c r="X859" s="50">
        <v>0.71846864604014915</v>
      </c>
      <c r="Y859" s="50">
        <v>0.98568691126064767</v>
      </c>
      <c r="Z859" s="50">
        <v>0.98568691126064767</v>
      </c>
    </row>
    <row r="860" spans="19:26">
      <c r="S860" s="50">
        <v>0.96163888983188939</v>
      </c>
      <c r="T860" s="50">
        <v>0.94932089241201612</v>
      </c>
      <c r="U860" s="50">
        <v>0.97654964012858991</v>
      </c>
      <c r="V860" s="50">
        <v>0.96649294628349203</v>
      </c>
      <c r="W860" s="50">
        <v>0.72681988522329</v>
      </c>
      <c r="X860" s="50">
        <v>0.72681988522329</v>
      </c>
      <c r="Y860" s="50">
        <v>0.99284664207448836</v>
      </c>
      <c r="Z860" s="50">
        <v>0.99284664207448836</v>
      </c>
    </row>
    <row r="861" spans="19:26">
      <c r="S861" s="50">
        <v>0.95391672770153102</v>
      </c>
      <c r="T861" s="50">
        <v>0.93929128387753957</v>
      </c>
      <c r="U861" s="50">
        <v>0.97676447063957472</v>
      </c>
      <c r="V861" s="50">
        <v>1.0348446168958407</v>
      </c>
      <c r="W861" s="50">
        <v>0.80808900293852681</v>
      </c>
      <c r="X861" s="50">
        <v>0.80808900293852681</v>
      </c>
      <c r="Y861" s="50">
        <v>0.96616566875162835</v>
      </c>
      <c r="Z861" s="50">
        <v>0.96616566875162835</v>
      </c>
    </row>
    <row r="862" spans="19:26">
      <c r="S862" s="50">
        <v>0.95938714026653771</v>
      </c>
      <c r="T862" s="50">
        <v>0.94639568759430814</v>
      </c>
      <c r="U862" s="50">
        <v>0.99823798291096366</v>
      </c>
      <c r="V862" s="50">
        <v>0.84318384758125875</v>
      </c>
      <c r="W862" s="50">
        <v>0.77879725826244672</v>
      </c>
      <c r="X862" s="50">
        <v>0.77879725826244672</v>
      </c>
      <c r="Y862" s="50">
        <v>0.98269562448088554</v>
      </c>
      <c r="Z862" s="50">
        <v>0.98269562448088554</v>
      </c>
    </row>
    <row r="863" spans="19:26">
      <c r="S863" s="50">
        <v>0.9561224450225525</v>
      </c>
      <c r="T863" s="50">
        <v>0.94215634883233734</v>
      </c>
      <c r="U863" s="50">
        <v>1.01596269594127</v>
      </c>
      <c r="V863" s="50">
        <v>0.92262112168014221</v>
      </c>
      <c r="W863" s="50">
        <v>0.81922974370270474</v>
      </c>
      <c r="X863" s="50">
        <v>0.81922974370270474</v>
      </c>
      <c r="Y863" s="50">
        <v>0.97168661973636472</v>
      </c>
      <c r="Z863" s="50">
        <v>0.97168661973636472</v>
      </c>
    </row>
    <row r="864" spans="19:26">
      <c r="S864" s="50">
        <v>0.96230396387708073</v>
      </c>
      <c r="T864" s="50">
        <v>0.95020536243954357</v>
      </c>
      <c r="U864" s="50">
        <v>0.99976712674049451</v>
      </c>
      <c r="V864" s="50">
        <v>1.053582279804669</v>
      </c>
      <c r="W864" s="50">
        <v>0.83747755512089428</v>
      </c>
      <c r="X864" s="50">
        <v>0.83747755512089428</v>
      </c>
      <c r="Y864" s="50">
        <v>0.99146340593496762</v>
      </c>
      <c r="Z864" s="50">
        <v>0.99146340593496762</v>
      </c>
    </row>
    <row r="865" spans="19:26">
      <c r="S865" s="50">
        <v>0.96186579137948858</v>
      </c>
      <c r="T865" s="50">
        <v>0.94961807848364832</v>
      </c>
      <c r="U865" s="50">
        <v>0.96185971311314422</v>
      </c>
      <c r="V865" s="50">
        <v>1.0012436895839392</v>
      </c>
      <c r="W865" s="50">
        <v>0.73367929082085059</v>
      </c>
      <c r="X865" s="50">
        <v>0.73367929082085059</v>
      </c>
      <c r="Y865" s="50">
        <v>0.99345945975616412</v>
      </c>
      <c r="Z865" s="50">
        <v>0.99345945975616412</v>
      </c>
    </row>
    <row r="866" spans="19:26">
      <c r="S866" s="50">
        <v>0.96263210503672558</v>
      </c>
      <c r="T866" s="50">
        <v>0.95063583455297884</v>
      </c>
      <c r="U866" s="50">
        <v>0.93908135239552681</v>
      </c>
      <c r="V866" s="50">
        <v>0.95440129858382983</v>
      </c>
      <c r="W866" s="50">
        <v>0.85693525387801106</v>
      </c>
      <c r="X866" s="50">
        <v>0.85693525387801106</v>
      </c>
      <c r="Y866" s="50">
        <v>0.99217363894878141</v>
      </c>
      <c r="Z866" s="50">
        <v>0.99217363894878141</v>
      </c>
    </row>
    <row r="867" spans="19:26">
      <c r="S867" s="50">
        <v>0.9591097672013349</v>
      </c>
      <c r="T867" s="50">
        <v>0.9460289295471549</v>
      </c>
      <c r="U867" s="50">
        <v>1.0754538148215589</v>
      </c>
      <c r="V867" s="50">
        <v>1.0947606420259395</v>
      </c>
      <c r="W867" s="50">
        <v>0.7463389513605535</v>
      </c>
      <c r="X867" s="50">
        <v>0.7463389513605535</v>
      </c>
      <c r="Y867" s="50">
        <v>0.98281875523822559</v>
      </c>
      <c r="Z867" s="50">
        <v>0.98281875523822559</v>
      </c>
    </row>
    <row r="868" spans="19:26">
      <c r="S868" s="50">
        <v>0.96113420597316201</v>
      </c>
      <c r="T868" s="50">
        <v>0.9486665375240354</v>
      </c>
      <c r="U868" s="50">
        <v>0.91240112292372777</v>
      </c>
      <c r="V868" s="50">
        <v>0.89959482054195206</v>
      </c>
      <c r="W868" s="50">
        <v>0.74754706858225639</v>
      </c>
      <c r="X868" s="50">
        <v>0.74754706858225639</v>
      </c>
      <c r="Y868" s="50">
        <v>0.99003181942776708</v>
      </c>
      <c r="Z868" s="50">
        <v>0.99003181942776708</v>
      </c>
    </row>
    <row r="869" spans="19:26">
      <c r="S869" s="50">
        <v>0.95559941811641302</v>
      </c>
      <c r="T869" s="50">
        <v>0.94147944185329635</v>
      </c>
      <c r="U869" s="50">
        <v>0.89524900607066016</v>
      </c>
      <c r="V869" s="50">
        <v>0.97579293510171661</v>
      </c>
      <c r="W869" s="50">
        <v>0.83482476728667709</v>
      </c>
      <c r="X869" s="50">
        <v>0.83482476728667709</v>
      </c>
      <c r="Y869" s="50">
        <v>0.96993384904208135</v>
      </c>
      <c r="Z869" s="50">
        <v>0.96993384904208135</v>
      </c>
    </row>
    <row r="870" spans="19:26">
      <c r="S870" s="50">
        <v>0.96295462998989823</v>
      </c>
      <c r="T870" s="50">
        <v>0.95105846862370469</v>
      </c>
      <c r="U870" s="50">
        <v>0.93758996288214203</v>
      </c>
      <c r="V870" s="50">
        <v>1.001057061462246</v>
      </c>
      <c r="W870" s="50">
        <v>0.87255660637206545</v>
      </c>
      <c r="X870" s="50">
        <v>0.87255660637206545</v>
      </c>
      <c r="Y870" s="50">
        <v>0.99300690679715287</v>
      </c>
      <c r="Z870" s="50">
        <v>0.99300690679715287</v>
      </c>
    </row>
    <row r="871" spans="19:26">
      <c r="S871" s="50">
        <v>0.96306660657748211</v>
      </c>
      <c r="T871" s="50">
        <v>0.95118980232899064</v>
      </c>
      <c r="U871" s="50">
        <v>1.025768415717802</v>
      </c>
      <c r="V871" s="50">
        <v>0.95371833967438235</v>
      </c>
      <c r="W871" s="50">
        <v>0.76270920931749941</v>
      </c>
      <c r="X871" s="50">
        <v>0.76270920931749941</v>
      </c>
      <c r="Y871" s="50">
        <v>0.99721105332897853</v>
      </c>
      <c r="Z871" s="50">
        <v>0.99721105332897853</v>
      </c>
    </row>
    <row r="872" spans="19:26">
      <c r="S872" s="50">
        <v>0.96314510873548431</v>
      </c>
      <c r="T872" s="50">
        <v>0.9513009548800716</v>
      </c>
      <c r="U872" s="50">
        <v>1.0925786714812826</v>
      </c>
      <c r="V872" s="50">
        <v>1.0485342505554944</v>
      </c>
      <c r="W872" s="50">
        <v>0.82303571329097625</v>
      </c>
      <c r="X872" s="50">
        <v>0.82303571329097625</v>
      </c>
      <c r="Y872" s="50">
        <v>0.9952977498953447</v>
      </c>
      <c r="Z872" s="50">
        <v>0.9952977498953447</v>
      </c>
    </row>
    <row r="873" spans="19:26">
      <c r="S873" s="50">
        <v>0.95962316121250724</v>
      </c>
      <c r="T873" s="50">
        <v>0.94670018024421121</v>
      </c>
      <c r="U873" s="50">
        <v>1.1298925061714153</v>
      </c>
      <c r="V873" s="50">
        <v>0.93342443007677078</v>
      </c>
      <c r="W873" s="50">
        <v>0.76190193896603253</v>
      </c>
      <c r="X873" s="50">
        <v>0.76190193896603253</v>
      </c>
      <c r="Y873" s="50">
        <v>0.98404249151205136</v>
      </c>
      <c r="Z873" s="50">
        <v>0.98404249151205136</v>
      </c>
    </row>
    <row r="874" spans="19:26">
      <c r="S874" s="50">
        <v>0.95390815143093965</v>
      </c>
      <c r="T874" s="50">
        <v>0.93925962011330988</v>
      </c>
      <c r="U874" s="50">
        <v>1.0426120564314307</v>
      </c>
      <c r="V874" s="50">
        <v>0.92902617703607293</v>
      </c>
      <c r="W874" s="50">
        <v>0.70508873798314831</v>
      </c>
      <c r="X874" s="50">
        <v>0.70508873798314831</v>
      </c>
      <c r="Y874" s="50">
        <v>0.96872342295073122</v>
      </c>
      <c r="Z874" s="50">
        <v>0.96872342295073122</v>
      </c>
    </row>
    <row r="875" spans="19:26">
      <c r="S875" s="50">
        <v>0.9624537363885185</v>
      </c>
      <c r="T875" s="50">
        <v>0.95039922846848102</v>
      </c>
      <c r="U875" s="50">
        <v>0.94059050169431646</v>
      </c>
      <c r="V875" s="50">
        <v>1.0474804531499795</v>
      </c>
      <c r="W875" s="50">
        <v>0.82597871810219115</v>
      </c>
      <c r="X875" s="50">
        <v>0.82597871810219115</v>
      </c>
      <c r="Y875" s="50">
        <v>0.99240625175288977</v>
      </c>
      <c r="Z875" s="50">
        <v>0.99240625175288977</v>
      </c>
    </row>
    <row r="876" spans="19:26">
      <c r="S876" s="50">
        <v>0.96206584605468404</v>
      </c>
      <c r="T876" s="50">
        <v>0.94987699102259848</v>
      </c>
      <c r="U876" s="50">
        <v>0.91352925885119507</v>
      </c>
      <c r="V876" s="50">
        <v>0.85961236337868541</v>
      </c>
      <c r="W876" s="50">
        <v>0.72240896665167376</v>
      </c>
      <c r="X876" s="50">
        <v>0.72240896665167376</v>
      </c>
      <c r="Y876" s="50">
        <v>0.99476951926949453</v>
      </c>
      <c r="Z876" s="50">
        <v>0.99476951926949453</v>
      </c>
    </row>
    <row r="877" spans="19:26">
      <c r="S877" s="50">
        <v>0.95158908698043565</v>
      </c>
      <c r="T877" s="50">
        <v>0.93624014373340081</v>
      </c>
      <c r="U877" s="50">
        <v>0.89851187048567993</v>
      </c>
      <c r="V877" s="50">
        <v>0.90049262922608109</v>
      </c>
      <c r="W877" s="50">
        <v>0.65799920379200549</v>
      </c>
      <c r="X877" s="50">
        <v>0.65799920379200549</v>
      </c>
      <c r="Y877" s="50">
        <v>0.96442111266358788</v>
      </c>
      <c r="Z877" s="50">
        <v>0.96442111266358788</v>
      </c>
    </row>
    <row r="878" spans="19:26">
      <c r="S878" s="50">
        <v>0.95550452246956508</v>
      </c>
      <c r="T878" s="50">
        <v>0.94135033532079393</v>
      </c>
      <c r="U878" s="50">
        <v>1.0044571034858589</v>
      </c>
      <c r="V878" s="50">
        <v>0.95526980312337884</v>
      </c>
      <c r="W878" s="50">
        <v>0.79796837100725315</v>
      </c>
      <c r="X878" s="50">
        <v>0.79796837100725315</v>
      </c>
      <c r="Y878" s="50">
        <v>0.97048742809857269</v>
      </c>
      <c r="Z878" s="50">
        <v>0.97048742809857269</v>
      </c>
    </row>
    <row r="879" spans="19:26">
      <c r="S879" s="50">
        <v>0.96392839067929859</v>
      </c>
      <c r="T879" s="50">
        <v>0.95232104084954361</v>
      </c>
      <c r="U879" s="50">
        <v>0.85447976996502295</v>
      </c>
      <c r="V879" s="50">
        <v>0.8195999461837542</v>
      </c>
      <c r="W879" s="50">
        <v>0.80443260595044586</v>
      </c>
      <c r="X879" s="50">
        <v>0.80443260595044586</v>
      </c>
      <c r="Y879" s="50">
        <v>0.99929861649421581</v>
      </c>
      <c r="Z879" s="50">
        <v>0.99929861649421581</v>
      </c>
    </row>
    <row r="880" spans="19:26">
      <c r="S880" s="50">
        <v>0.96350878161097731</v>
      </c>
      <c r="T880" s="50">
        <v>0.95176627332766939</v>
      </c>
      <c r="U880" s="50">
        <v>0.87257711552534489</v>
      </c>
      <c r="V880" s="50">
        <v>0.88195746574943035</v>
      </c>
      <c r="W880" s="50">
        <v>0.75779255693885006</v>
      </c>
      <c r="X880" s="50">
        <v>0.75779255693885006</v>
      </c>
      <c r="Y880" s="50">
        <v>0.9993352376387743</v>
      </c>
      <c r="Z880" s="50">
        <v>0.9993352376387743</v>
      </c>
    </row>
    <row r="881" spans="19:26">
      <c r="S881" s="50">
        <v>0.95955226862404208</v>
      </c>
      <c r="T881" s="50">
        <v>0.94659692058026101</v>
      </c>
      <c r="U881" s="50">
        <v>0.97623001234177009</v>
      </c>
      <c r="V881" s="50">
        <v>0.99358639881308886</v>
      </c>
      <c r="W881" s="50">
        <v>0.70431047204351438</v>
      </c>
      <c r="X881" s="50">
        <v>0.70431047204351438</v>
      </c>
      <c r="Y881" s="50">
        <v>0.98594514597608163</v>
      </c>
      <c r="Z881" s="50">
        <v>0.98594514597608163</v>
      </c>
    </row>
    <row r="882" spans="19:26">
      <c r="S882" s="50">
        <v>0.96270664325448319</v>
      </c>
      <c r="T882" s="50">
        <v>0.95071935933499296</v>
      </c>
      <c r="U882" s="50">
        <v>0.96528426934020739</v>
      </c>
      <c r="V882" s="50">
        <v>1.0225483769302448</v>
      </c>
      <c r="W882" s="50">
        <v>0.758672141164625</v>
      </c>
      <c r="X882" s="50">
        <v>0.758672141164625</v>
      </c>
      <c r="Y882" s="50">
        <v>0.99585851386886493</v>
      </c>
      <c r="Z882" s="50">
        <v>0.99585851386886493</v>
      </c>
    </row>
    <row r="883" spans="19:26">
      <c r="S883" s="50">
        <v>0.95911181493681907</v>
      </c>
      <c r="T883" s="50">
        <v>0.94601861163838363</v>
      </c>
      <c r="U883" s="50">
        <v>0.9814667045014267</v>
      </c>
      <c r="V883" s="50">
        <v>1.0361817686256425</v>
      </c>
      <c r="W883" s="50">
        <v>0.68283671330022222</v>
      </c>
      <c r="X883" s="50">
        <v>0.68283671330022222</v>
      </c>
      <c r="Y883" s="50">
        <v>0.98531189924344598</v>
      </c>
      <c r="Z883" s="50">
        <v>0.98531189924344598</v>
      </c>
    </row>
    <row r="884" spans="19:26">
      <c r="S884" s="50">
        <v>0.95888839821842875</v>
      </c>
      <c r="T884" s="50">
        <v>0.94574848481151208</v>
      </c>
      <c r="U884" s="50">
        <v>1.0666216105961368</v>
      </c>
      <c r="V884" s="50">
        <v>0.85808185059792896</v>
      </c>
      <c r="W884" s="50">
        <v>0.79142798007438819</v>
      </c>
      <c r="X884" s="50">
        <v>0.79142798007438819</v>
      </c>
      <c r="Y884" s="50">
        <v>0.98066954436761711</v>
      </c>
      <c r="Z884" s="50">
        <v>0.98066954436761711</v>
      </c>
    </row>
    <row r="885" spans="19:26">
      <c r="S885" s="50">
        <v>0.96279836088652659</v>
      </c>
      <c r="T885" s="50">
        <v>0.95083874156027026</v>
      </c>
      <c r="U885" s="50">
        <v>1.057757191555484</v>
      </c>
      <c r="V885" s="50">
        <v>1.0250862831903442</v>
      </c>
      <c r="W885" s="50">
        <v>0.75674925096540013</v>
      </c>
      <c r="X885" s="50">
        <v>0.75674925096540013</v>
      </c>
      <c r="Y885" s="50">
        <v>0.99632224625517685</v>
      </c>
      <c r="Z885" s="50">
        <v>0.99632224625517685</v>
      </c>
    </row>
    <row r="886" spans="19:26">
      <c r="S886" s="50">
        <v>0.95370538605734412</v>
      </c>
      <c r="T886" s="50">
        <v>0.93901559385537481</v>
      </c>
      <c r="U886" s="50">
        <v>1.0471332218540359</v>
      </c>
      <c r="V886" s="50">
        <v>0.95557454107639184</v>
      </c>
      <c r="W886" s="50">
        <v>0.7989984993489424</v>
      </c>
      <c r="X886" s="50">
        <v>0.7989984993489424</v>
      </c>
      <c r="Y886" s="50">
        <v>0.96583444848028432</v>
      </c>
      <c r="Z886" s="50">
        <v>0.96583444848028432</v>
      </c>
    </row>
    <row r="887" spans="19:26">
      <c r="S887" s="50">
        <v>0.96290872230664992</v>
      </c>
      <c r="T887" s="50">
        <v>0.95097366028990515</v>
      </c>
      <c r="U887" s="50">
        <v>0.94427766712487238</v>
      </c>
      <c r="V887" s="50">
        <v>0.81436140019940562</v>
      </c>
      <c r="W887" s="50">
        <v>0.70507570516385776</v>
      </c>
      <c r="X887" s="50">
        <v>0.70507570516385776</v>
      </c>
      <c r="Y887" s="50">
        <v>0.99919034599823109</v>
      </c>
      <c r="Z887" s="50">
        <v>0.99919034599823109</v>
      </c>
    </row>
    <row r="888" spans="19:26">
      <c r="S888" s="50">
        <v>0.94960946079179842</v>
      </c>
      <c r="T888" s="50">
        <v>0.93371858745017244</v>
      </c>
      <c r="U888" s="50">
        <v>0.99320371360601745</v>
      </c>
      <c r="V888" s="50">
        <v>1.1151651321967944</v>
      </c>
      <c r="W888" s="50">
        <v>0.84596996080382003</v>
      </c>
      <c r="X888" s="50">
        <v>0.84596996080382003</v>
      </c>
      <c r="Y888" s="50">
        <v>0.95594165937423381</v>
      </c>
      <c r="Z888" s="50">
        <v>0.95594165937423381</v>
      </c>
    </row>
    <row r="889" spans="19:26">
      <c r="S889" s="50">
        <v>0.96023225183136984</v>
      </c>
      <c r="T889" s="50">
        <v>0.94750461551199727</v>
      </c>
      <c r="U889" s="50">
        <v>0.95659556313827987</v>
      </c>
      <c r="V889" s="50">
        <v>0.93962189862075951</v>
      </c>
      <c r="W889" s="50">
        <v>0.83462126305584405</v>
      </c>
      <c r="X889" s="50">
        <v>0.83462126305584405</v>
      </c>
      <c r="Y889" s="50">
        <v>0.98396390411461654</v>
      </c>
      <c r="Z889" s="50">
        <v>0.98396390411461654</v>
      </c>
    </row>
    <row r="890" spans="19:26">
      <c r="S890" s="50">
        <v>0.95586951501201489</v>
      </c>
      <c r="T890" s="50">
        <v>0.94182171384312496</v>
      </c>
      <c r="U890" s="50">
        <v>0.9414204227777726</v>
      </c>
      <c r="V890" s="50">
        <v>0.96385997787207933</v>
      </c>
      <c r="W890" s="50">
        <v>0.78249122572382768</v>
      </c>
      <c r="X890" s="50">
        <v>0.78249122572382768</v>
      </c>
      <c r="Y890" s="50">
        <v>0.97185742226236971</v>
      </c>
      <c r="Z890" s="50">
        <v>0.97185742226236971</v>
      </c>
    </row>
    <row r="891" spans="19:26">
      <c r="S891" s="50">
        <v>0.96155270181624397</v>
      </c>
      <c r="T891" s="50">
        <v>0.94921387680131053</v>
      </c>
      <c r="U891" s="50">
        <v>0.86821396210316326</v>
      </c>
      <c r="V891" s="50">
        <v>0.92345159028394896</v>
      </c>
      <c r="W891" s="50">
        <v>0.75750659837962098</v>
      </c>
      <c r="X891" s="50">
        <v>0.75750659837962098</v>
      </c>
      <c r="Y891" s="50">
        <v>0.99125799504304379</v>
      </c>
      <c r="Z891" s="50">
        <v>0.99125799504304379</v>
      </c>
    </row>
    <row r="892" spans="19:26">
      <c r="S892" s="50">
        <v>0.96171216651572644</v>
      </c>
      <c r="T892" s="50">
        <v>0.94941960918473189</v>
      </c>
      <c r="U892" s="50">
        <v>0.92291740859965476</v>
      </c>
      <c r="V892" s="50">
        <v>1.0179710264522479</v>
      </c>
      <c r="W892" s="50">
        <v>0.74444838427141946</v>
      </c>
      <c r="X892" s="50">
        <v>0.74444838427141946</v>
      </c>
      <c r="Y892" s="50">
        <v>0.9923975547143431</v>
      </c>
      <c r="Z892" s="50">
        <v>0.9923975547143431</v>
      </c>
    </row>
    <row r="893" spans="19:26">
      <c r="S893" s="50">
        <v>0.96065401115685367</v>
      </c>
      <c r="T893" s="50">
        <v>0.94805926518346362</v>
      </c>
      <c r="U893" s="50">
        <v>0.98387856732126722</v>
      </c>
      <c r="V893" s="50">
        <v>0.73487138594372237</v>
      </c>
      <c r="W893" s="50">
        <v>0.87544919901034879</v>
      </c>
      <c r="X893" s="50">
        <v>0.87544919901034879</v>
      </c>
      <c r="Y893" s="50">
        <v>0.98438124594042009</v>
      </c>
      <c r="Z893" s="50">
        <v>0.98438124594042009</v>
      </c>
    </row>
    <row r="894" spans="19:26">
      <c r="S894" s="50">
        <v>0.96162407330364574</v>
      </c>
      <c r="T894" s="50">
        <v>0.94931121065600155</v>
      </c>
      <c r="U894" s="50">
        <v>0.97814725530129898</v>
      </c>
      <c r="V894" s="50">
        <v>0.87361782846251501</v>
      </c>
      <c r="W894" s="50">
        <v>0.78420482971467509</v>
      </c>
      <c r="X894" s="50">
        <v>0.78420482971467509</v>
      </c>
      <c r="Y894" s="50">
        <v>0.99056017974768784</v>
      </c>
      <c r="Z894" s="50">
        <v>0.99056017974768784</v>
      </c>
    </row>
    <row r="895" spans="19:26">
      <c r="S895" s="50">
        <v>0.96085460055803373</v>
      </c>
      <c r="T895" s="50">
        <v>0.94830239526280691</v>
      </c>
      <c r="U895" s="50">
        <v>0.78434273169811586</v>
      </c>
      <c r="V895" s="50">
        <v>1.0126780541154055</v>
      </c>
      <c r="W895" s="50">
        <v>0.74945085428166602</v>
      </c>
      <c r="X895" s="50">
        <v>0.74945085428166602</v>
      </c>
      <c r="Y895" s="50">
        <v>0.98890421040822318</v>
      </c>
      <c r="Z895" s="50">
        <v>0.98890421040822318</v>
      </c>
    </row>
    <row r="896" spans="19:26">
      <c r="S896" s="50">
        <v>0.9618242343917639</v>
      </c>
      <c r="T896" s="50">
        <v>0.94957880862133603</v>
      </c>
      <c r="U896" s="50">
        <v>0.90638324925285685</v>
      </c>
      <c r="V896" s="50">
        <v>0.80602605708477248</v>
      </c>
      <c r="W896" s="50">
        <v>0.83046900615755315</v>
      </c>
      <c r="X896" s="50">
        <v>0.83046900615755315</v>
      </c>
      <c r="Y896" s="50">
        <v>0.98983076840379614</v>
      </c>
      <c r="Z896" s="50">
        <v>0.98983076840379614</v>
      </c>
    </row>
    <row r="897" spans="19:26">
      <c r="S897" s="50">
        <v>0.96382164015238248</v>
      </c>
      <c r="T897" s="50">
        <v>0.95217985967520491</v>
      </c>
      <c r="U897" s="50">
        <v>0.99080025416143491</v>
      </c>
      <c r="V897" s="50">
        <v>0.88182443982391756</v>
      </c>
      <c r="W897" s="50">
        <v>0.79159809982874363</v>
      </c>
      <c r="X897" s="50">
        <v>0.79159809982874363</v>
      </c>
      <c r="Y897" s="50">
        <v>0.99932060822060176</v>
      </c>
      <c r="Z897" s="50">
        <v>0.99932060822060176</v>
      </c>
    </row>
    <row r="898" spans="19:26">
      <c r="S898" s="50">
        <v>0.96342265795857274</v>
      </c>
      <c r="T898" s="50">
        <v>0.95165464487732121</v>
      </c>
      <c r="U898" s="50">
        <v>0.97234227408897611</v>
      </c>
      <c r="V898" s="50">
        <v>1.0130047029616136</v>
      </c>
      <c r="W898" s="50">
        <v>0.76297818157870878</v>
      </c>
      <c r="X898" s="50">
        <v>0.76297818157870878</v>
      </c>
      <c r="Y898" s="50">
        <v>0.99873552030379831</v>
      </c>
      <c r="Z898" s="50">
        <v>0.99873552030379831</v>
      </c>
    </row>
    <row r="899" spans="19:26">
      <c r="S899" s="50">
        <v>0.96217267239289228</v>
      </c>
      <c r="T899" s="50">
        <v>0.95002159546609222</v>
      </c>
      <c r="U899" s="50">
        <v>1.0398581663334137</v>
      </c>
      <c r="V899" s="50">
        <v>0.87614059076707529</v>
      </c>
      <c r="W899" s="50">
        <v>0.75221862430204744</v>
      </c>
      <c r="X899" s="50">
        <v>0.75221862430204744</v>
      </c>
      <c r="Y899" s="50">
        <v>0.99392550243555011</v>
      </c>
      <c r="Z899" s="50">
        <v>0.99392550243555011</v>
      </c>
    </row>
    <row r="900" spans="19:26">
      <c r="S900" s="50">
        <v>0.95876364749541398</v>
      </c>
      <c r="T900" s="50">
        <v>0.94559160219533156</v>
      </c>
      <c r="U900" s="50">
        <v>1.0574375607348099</v>
      </c>
      <c r="V900" s="50">
        <v>0.98792361074963086</v>
      </c>
      <c r="W900" s="50">
        <v>0.8274965406011261</v>
      </c>
      <c r="X900" s="50">
        <v>0.8274965406011261</v>
      </c>
      <c r="Y900" s="50">
        <v>0.97929922826275573</v>
      </c>
      <c r="Z900" s="50">
        <v>0.97929922826275573</v>
      </c>
    </row>
    <row r="901" spans="19:26">
      <c r="S901" s="50">
        <v>0.96147764094958255</v>
      </c>
      <c r="T901" s="50">
        <v>0.94911552487205575</v>
      </c>
      <c r="U901" s="50">
        <v>1.0872695304825293</v>
      </c>
      <c r="V901" s="50">
        <v>0.87623884904351856</v>
      </c>
      <c r="W901" s="50">
        <v>0.75466834095679103</v>
      </c>
      <c r="X901" s="50">
        <v>0.75466834095679103</v>
      </c>
      <c r="Y901" s="50">
        <v>0.99107577517415879</v>
      </c>
      <c r="Z901" s="50">
        <v>0.99107577517415879</v>
      </c>
    </row>
    <row r="902" spans="19:26">
      <c r="S902" s="50">
        <v>0.96256061141305216</v>
      </c>
      <c r="T902" s="50">
        <v>0.95052033442534911</v>
      </c>
      <c r="U902" s="50">
        <v>0.92876481636600472</v>
      </c>
      <c r="V902" s="50">
        <v>0.95560012420355267</v>
      </c>
      <c r="W902" s="50">
        <v>0.71049877689155627</v>
      </c>
      <c r="X902" s="50">
        <v>0.71049877689155627</v>
      </c>
      <c r="Y902" s="50">
        <v>0.99740696168113152</v>
      </c>
      <c r="Z902" s="50">
        <v>0.99740696168113152</v>
      </c>
    </row>
    <row r="903" spans="19:26">
      <c r="S903" s="50">
        <v>0.95505053292565423</v>
      </c>
      <c r="T903" s="50">
        <v>0.94075999854901859</v>
      </c>
      <c r="U903" s="50">
        <v>0.9995007378114108</v>
      </c>
      <c r="V903" s="50">
        <v>1.0340475931785964</v>
      </c>
      <c r="W903" s="50">
        <v>0.79280784018498873</v>
      </c>
      <c r="X903" s="50">
        <v>0.79280784018498873</v>
      </c>
      <c r="Y903" s="50">
        <v>0.96939667675883312</v>
      </c>
      <c r="Z903" s="50">
        <v>0.96939667675883312</v>
      </c>
    </row>
    <row r="904" spans="19:26">
      <c r="S904" s="50">
        <v>0.95851104301892187</v>
      </c>
      <c r="T904" s="50">
        <v>0.94525118514629547</v>
      </c>
      <c r="U904" s="50">
        <v>0.92086613808789552</v>
      </c>
      <c r="V904" s="50">
        <v>0.98407039428068399</v>
      </c>
      <c r="W904" s="50">
        <v>0.7549588592557791</v>
      </c>
      <c r="X904" s="50">
        <v>0.7549588592557791</v>
      </c>
      <c r="Y904" s="50">
        <v>0.98055139231494082</v>
      </c>
      <c r="Z904" s="50">
        <v>0.98055139231494082</v>
      </c>
    </row>
    <row r="905" spans="19:26">
      <c r="S905" s="50">
        <v>0.96223988735895627</v>
      </c>
      <c r="T905" s="50">
        <v>0.95009687182805003</v>
      </c>
      <c r="U905" s="50">
        <v>0.85776141577827281</v>
      </c>
      <c r="V905" s="50">
        <v>0.89000295527866902</v>
      </c>
      <c r="W905" s="50">
        <v>0.68585309419462626</v>
      </c>
      <c r="X905" s="50">
        <v>0.68585309419462626</v>
      </c>
      <c r="Y905" s="50">
        <v>0.99730328088870157</v>
      </c>
      <c r="Z905" s="50">
        <v>0.99730328088870157</v>
      </c>
    </row>
    <row r="906" spans="19:26">
      <c r="S906" s="50">
        <v>0.96457121766854914</v>
      </c>
      <c r="T906" s="50">
        <v>0.95316834515279325</v>
      </c>
      <c r="U906" s="50">
        <v>0.99458578387066576</v>
      </c>
      <c r="V906" s="50">
        <v>0.89114518351170302</v>
      </c>
      <c r="W906" s="50">
        <v>0.86723840754713022</v>
      </c>
      <c r="X906" s="50">
        <v>0.86723840754713022</v>
      </c>
      <c r="Y906" s="50">
        <v>0.99997048020319301</v>
      </c>
      <c r="Z906" s="50">
        <v>0.99997048020319301</v>
      </c>
    </row>
    <row r="907" spans="19:26">
      <c r="S907" s="50">
        <v>0.94838396043875839</v>
      </c>
      <c r="T907" s="50">
        <v>0.93212893715083056</v>
      </c>
      <c r="U907" s="50">
        <v>0.97118916863741411</v>
      </c>
      <c r="V907" s="50">
        <v>0.79421398012103117</v>
      </c>
      <c r="W907" s="50">
        <v>0.81573872074082199</v>
      </c>
      <c r="X907" s="50">
        <v>0.81573872074082199</v>
      </c>
      <c r="Y907" s="50">
        <v>0.95401310697528119</v>
      </c>
      <c r="Z907" s="50">
        <v>0.95401310697528119</v>
      </c>
    </row>
    <row r="908" spans="19:26">
      <c r="S908" s="50">
        <v>0.95511647476383799</v>
      </c>
      <c r="T908" s="50">
        <v>0.94084391052836813</v>
      </c>
      <c r="U908" s="50">
        <v>0.94046000274725416</v>
      </c>
      <c r="V908" s="50">
        <v>0.98689476319676284</v>
      </c>
      <c r="W908" s="50">
        <v>0.78312516142039856</v>
      </c>
      <c r="X908" s="50">
        <v>0.78312516142039856</v>
      </c>
      <c r="Y908" s="50">
        <v>0.96979940914575991</v>
      </c>
      <c r="Z908" s="50">
        <v>0.96979940914575991</v>
      </c>
    </row>
    <row r="909" spans="19:26">
      <c r="S909" s="50">
        <v>0.95700821320010931</v>
      </c>
      <c r="T909" s="50">
        <v>0.94329451042701284</v>
      </c>
      <c r="U909" s="50">
        <v>0.93868238020310213</v>
      </c>
      <c r="V909" s="50">
        <v>0.83615461543471126</v>
      </c>
      <c r="W909" s="50">
        <v>0.74466156258989158</v>
      </c>
      <c r="X909" s="50">
        <v>0.74466156258989158</v>
      </c>
      <c r="Y909" s="50">
        <v>0.97618582132599674</v>
      </c>
      <c r="Z909" s="50">
        <v>0.97618582132599674</v>
      </c>
    </row>
    <row r="910" spans="19:26">
      <c r="S910" s="50">
        <v>0.96368706188379039</v>
      </c>
      <c r="T910" s="50">
        <v>0.95200865797213385</v>
      </c>
      <c r="U910" s="50">
        <v>1.013651342808521</v>
      </c>
      <c r="V910" s="50">
        <v>1.0273850088759191</v>
      </c>
      <c r="W910" s="50">
        <v>0.82504540675211624</v>
      </c>
      <c r="X910" s="50">
        <v>0.82504540675211624</v>
      </c>
      <c r="Y910" s="50">
        <v>0.99751016986491847</v>
      </c>
      <c r="Z910" s="50">
        <v>0.99751016986491847</v>
      </c>
    </row>
    <row r="911" spans="19:26">
      <c r="S911" s="50">
        <v>0.96285494476346678</v>
      </c>
      <c r="T911" s="50">
        <v>0.95092500909480138</v>
      </c>
      <c r="U911" s="50">
        <v>0.98032729375420402</v>
      </c>
      <c r="V911" s="50">
        <v>0.9594349694511678</v>
      </c>
      <c r="W911" s="50">
        <v>0.84420781202418738</v>
      </c>
      <c r="X911" s="50">
        <v>0.84420781202418738</v>
      </c>
      <c r="Y911" s="50">
        <v>0.99343811300324769</v>
      </c>
      <c r="Z911" s="50">
        <v>0.99343811300324769</v>
      </c>
    </row>
    <row r="912" spans="19:26">
      <c r="S912" s="50">
        <v>0.95920035103831813</v>
      </c>
      <c r="T912" s="50">
        <v>0.94615433217116807</v>
      </c>
      <c r="U912" s="50">
        <v>0.93298632322520814</v>
      </c>
      <c r="V912" s="50">
        <v>0.97072999241708369</v>
      </c>
      <c r="W912" s="50">
        <v>0.79009652138103803</v>
      </c>
      <c r="X912" s="50">
        <v>0.79009652138103803</v>
      </c>
      <c r="Y912" s="50">
        <v>0.98173141605219838</v>
      </c>
      <c r="Z912" s="50">
        <v>0.98173141605219838</v>
      </c>
    </row>
    <row r="913" spans="19:26">
      <c r="S913" s="50">
        <v>0.96103712918040052</v>
      </c>
      <c r="T913" s="50">
        <v>0.94854435445310237</v>
      </c>
      <c r="U913" s="50">
        <v>1.087787870316379</v>
      </c>
      <c r="V913" s="50">
        <v>1.0457384234447165</v>
      </c>
      <c r="W913" s="50">
        <v>0.77364079406064068</v>
      </c>
      <c r="X913" s="50">
        <v>0.77364079406064068</v>
      </c>
      <c r="Y913" s="50">
        <v>0.98870823836772226</v>
      </c>
      <c r="Z913" s="50">
        <v>0.98870823836772226</v>
      </c>
    </row>
    <row r="914" spans="19:26">
      <c r="S914" s="50">
        <v>0.96207252820299571</v>
      </c>
      <c r="T914" s="50">
        <v>0.94990206427425417</v>
      </c>
      <c r="U914" s="50">
        <v>0.96158169452511721</v>
      </c>
      <c r="V914" s="50">
        <v>0.90930658420808341</v>
      </c>
      <c r="W914" s="50">
        <v>0.82645041351629489</v>
      </c>
      <c r="X914" s="50">
        <v>0.82645041351629489</v>
      </c>
      <c r="Y914" s="50">
        <v>0.9909027259373544</v>
      </c>
      <c r="Z914" s="50">
        <v>0.9909027259373544</v>
      </c>
    </row>
    <row r="915" spans="19:26">
      <c r="S915" s="50">
        <v>0.95289213556722963</v>
      </c>
      <c r="T915" s="50">
        <v>0.9379556936482194</v>
      </c>
      <c r="U915" s="50">
        <v>1.0371475633520943</v>
      </c>
      <c r="V915" s="50">
        <v>1.0415744705369883</v>
      </c>
      <c r="W915" s="50">
        <v>0.76993132522035024</v>
      </c>
      <c r="X915" s="50">
        <v>0.76993132522035024</v>
      </c>
      <c r="Y915" s="50">
        <v>0.96449492074399368</v>
      </c>
      <c r="Z915" s="50">
        <v>0.96449492074399368</v>
      </c>
    </row>
    <row r="916" spans="19:26">
      <c r="S916" s="50">
        <v>0.95905339018158409</v>
      </c>
      <c r="T916" s="50">
        <v>0.94596278654310229</v>
      </c>
      <c r="U916" s="50">
        <v>0.930251386022382</v>
      </c>
      <c r="V916" s="50">
        <v>1.016711672235094</v>
      </c>
      <c r="W916" s="50">
        <v>0.78859719887693336</v>
      </c>
      <c r="X916" s="50">
        <v>0.78859719887693336</v>
      </c>
      <c r="Y916" s="50">
        <v>0.98129072180395116</v>
      </c>
      <c r="Z916" s="50">
        <v>0.98129072180395116</v>
      </c>
    </row>
    <row r="917" spans="19:26">
      <c r="S917" s="50">
        <v>0.96145153950855566</v>
      </c>
      <c r="T917" s="50">
        <v>0.94908179453590924</v>
      </c>
      <c r="U917" s="50">
        <v>1.0118394116884757</v>
      </c>
      <c r="V917" s="50">
        <v>1.2602703040384191</v>
      </c>
      <c r="W917" s="50">
        <v>0.75647231804727</v>
      </c>
      <c r="X917" s="50">
        <v>0.75647231804727</v>
      </c>
      <c r="Y917" s="50">
        <v>0.99090575524272961</v>
      </c>
      <c r="Z917" s="50">
        <v>0.99090575524272961</v>
      </c>
    </row>
    <row r="918" spans="19:26">
      <c r="S918" s="50">
        <v>0.94579248158241491</v>
      </c>
      <c r="T918" s="50">
        <v>0.92878012136135135</v>
      </c>
      <c r="U918" s="50">
        <v>0.86291998712428664</v>
      </c>
      <c r="V918" s="50">
        <v>0.63009371190335894</v>
      </c>
      <c r="W918" s="50">
        <v>0.80289067055507946</v>
      </c>
      <c r="X918" s="50">
        <v>0.80289067055507946</v>
      </c>
      <c r="Y918" s="50">
        <v>0.94951979685675258</v>
      </c>
      <c r="Z918" s="50">
        <v>0.94951979685675258</v>
      </c>
    </row>
    <row r="919" spans="19:26">
      <c r="S919" s="50">
        <v>0.95932078834183343</v>
      </c>
      <c r="T919" s="50">
        <v>0.94630885558034794</v>
      </c>
      <c r="U919" s="50">
        <v>1.0455297209859367</v>
      </c>
      <c r="V919" s="50">
        <v>0.86870658275546009</v>
      </c>
      <c r="W919" s="50">
        <v>0.77611529019622605</v>
      </c>
      <c r="X919" s="50">
        <v>0.77611529019622605</v>
      </c>
      <c r="Y919" s="50">
        <v>0.98255570316620888</v>
      </c>
      <c r="Z919" s="50">
        <v>0.98255570316620888</v>
      </c>
    </row>
    <row r="920" spans="19:26">
      <c r="S920" s="50">
        <v>0.96014102088950926</v>
      </c>
      <c r="T920" s="50">
        <v>0.94736986796752809</v>
      </c>
      <c r="U920" s="50">
        <v>0.92028751818932153</v>
      </c>
      <c r="V920" s="50">
        <v>0.98963999580390494</v>
      </c>
      <c r="W920" s="50">
        <v>0.73475713344595805</v>
      </c>
      <c r="X920" s="50">
        <v>0.73475713344595805</v>
      </c>
      <c r="Y920" s="50">
        <v>0.9868399088484644</v>
      </c>
      <c r="Z920" s="50">
        <v>0.9868399088484644</v>
      </c>
    </row>
    <row r="921" spans="19:26">
      <c r="S921" s="50">
        <v>0.95934253294970595</v>
      </c>
      <c r="T921" s="50">
        <v>0.94634282946391768</v>
      </c>
      <c r="U921" s="50">
        <v>1.0160058443721449</v>
      </c>
      <c r="V921" s="50">
        <v>1.0820252170095963</v>
      </c>
      <c r="W921" s="50">
        <v>0.81220171605568259</v>
      </c>
      <c r="X921" s="50">
        <v>0.81220171605568259</v>
      </c>
      <c r="Y921" s="50">
        <v>0.98157402230599788</v>
      </c>
      <c r="Z921" s="50">
        <v>0.98157402230599788</v>
      </c>
    </row>
    <row r="922" spans="19:26">
      <c r="S922" s="50">
        <v>0.92648608912914132</v>
      </c>
      <c r="T922" s="50">
        <v>0.904021212289147</v>
      </c>
      <c r="U922" s="50">
        <v>1.0984265863696683</v>
      </c>
      <c r="V922" s="50">
        <v>0.78159894942233876</v>
      </c>
      <c r="W922" s="50">
        <v>0.77265603179293296</v>
      </c>
      <c r="X922" s="50">
        <v>0.77265603179293296</v>
      </c>
      <c r="Y922" s="50">
        <v>0.92610154206867745</v>
      </c>
      <c r="Z922" s="50">
        <v>0.92610154206867745</v>
      </c>
    </row>
    <row r="923" spans="19:26">
      <c r="S923" s="50">
        <v>0.9627435104308576</v>
      </c>
      <c r="T923" s="50">
        <v>0.95077068798323383</v>
      </c>
      <c r="U923" s="50">
        <v>0.87917327184440852</v>
      </c>
      <c r="V923" s="50">
        <v>0.89087721752517812</v>
      </c>
      <c r="W923" s="50">
        <v>0.77925859763403704</v>
      </c>
      <c r="X923" s="50">
        <v>0.77925859763403704</v>
      </c>
      <c r="Y923" s="50">
        <v>0.99519856974708165</v>
      </c>
      <c r="Z923" s="50">
        <v>0.99519856974708165</v>
      </c>
    </row>
    <row r="924" spans="19:26">
      <c r="S924" s="50">
        <v>0.96157888051365004</v>
      </c>
      <c r="T924" s="50">
        <v>0.94925447294682674</v>
      </c>
      <c r="U924" s="50">
        <v>0.86572225356900412</v>
      </c>
      <c r="V924" s="50">
        <v>0.883345076880099</v>
      </c>
      <c r="W924" s="50">
        <v>0.79880674185661205</v>
      </c>
      <c r="X924" s="50">
        <v>0.79880674185661205</v>
      </c>
      <c r="Y924" s="50">
        <v>0.98989376995825662</v>
      </c>
      <c r="Z924" s="50">
        <v>0.98989376995825662</v>
      </c>
    </row>
    <row r="925" spans="19:26">
      <c r="S925" s="50">
        <v>0.9521896025485671</v>
      </c>
      <c r="T925" s="50">
        <v>0.93704258945019014</v>
      </c>
      <c r="U925" s="50">
        <v>1.0355819581023455</v>
      </c>
      <c r="V925" s="50">
        <v>0.95624696981405533</v>
      </c>
      <c r="W925" s="50">
        <v>0.75726872939050494</v>
      </c>
      <c r="X925" s="50">
        <v>0.75726872939050494</v>
      </c>
      <c r="Y925" s="50">
        <v>0.96312326074651033</v>
      </c>
      <c r="Z925" s="50">
        <v>0.96312326074651033</v>
      </c>
    </row>
    <row r="926" spans="19:26">
      <c r="S926" s="50">
        <v>0.96000479448520815</v>
      </c>
      <c r="T926" s="50">
        <v>0.94719389038493729</v>
      </c>
      <c r="U926" s="50">
        <v>0.95221724032292165</v>
      </c>
      <c r="V926" s="50">
        <v>0.87363250343770038</v>
      </c>
      <c r="W926" s="50">
        <v>0.74288836606436792</v>
      </c>
      <c r="X926" s="50">
        <v>0.74288836606436792</v>
      </c>
      <c r="Y926" s="50">
        <v>0.98604612495235344</v>
      </c>
      <c r="Z926" s="50">
        <v>0.98604612495235344</v>
      </c>
    </row>
    <row r="927" spans="19:26">
      <c r="S927" s="50">
        <v>0.9632472943561311</v>
      </c>
      <c r="T927" s="50">
        <v>0.95142576008111157</v>
      </c>
      <c r="U927" s="50">
        <v>0.92681642447687851</v>
      </c>
      <c r="V927" s="50">
        <v>0.9872869844818335</v>
      </c>
      <c r="W927" s="50">
        <v>0.76332104933884337</v>
      </c>
      <c r="X927" s="50">
        <v>0.76332104933884337</v>
      </c>
      <c r="Y927" s="50">
        <v>0.99796039226532529</v>
      </c>
      <c r="Z927" s="50">
        <v>0.99796039226532529</v>
      </c>
    </row>
    <row r="928" spans="19:26">
      <c r="S928" s="50">
        <v>0.94507691695551654</v>
      </c>
      <c r="T928" s="50">
        <v>0.92782608178493819</v>
      </c>
      <c r="U928" s="50">
        <v>0.91476271872608139</v>
      </c>
      <c r="V928" s="50">
        <v>0.89298899932441478</v>
      </c>
      <c r="W928" s="50">
        <v>0.6776406526813521</v>
      </c>
      <c r="X928" s="50">
        <v>0.6776406526813521</v>
      </c>
      <c r="Y928" s="50">
        <v>0.95052757959472911</v>
      </c>
      <c r="Z928" s="50">
        <v>0.95052757959472911</v>
      </c>
    </row>
    <row r="929" spans="19:26">
      <c r="S929" s="50">
        <v>0.96167771783260259</v>
      </c>
      <c r="T929" s="50">
        <v>0.94937748064498295</v>
      </c>
      <c r="U929" s="50">
        <v>0.89249766304042255</v>
      </c>
      <c r="V929" s="50">
        <v>0.97650030471819549</v>
      </c>
      <c r="W929" s="50">
        <v>0.76100589791732043</v>
      </c>
      <c r="X929" s="50">
        <v>0.76100589791732043</v>
      </c>
      <c r="Y929" s="50">
        <v>0.99161141606942871</v>
      </c>
      <c r="Z929" s="50">
        <v>0.99161141606942871</v>
      </c>
    </row>
    <row r="930" spans="19:26">
      <c r="S930" s="50">
        <v>0.96177798232689515</v>
      </c>
      <c r="T930" s="50">
        <v>0.94951397284159311</v>
      </c>
      <c r="U930" s="50">
        <v>0.94726134846232457</v>
      </c>
      <c r="V930" s="50">
        <v>0.85291776011024534</v>
      </c>
      <c r="W930" s="50">
        <v>0.79802005527725384</v>
      </c>
      <c r="X930" s="50">
        <v>0.79802005527725384</v>
      </c>
      <c r="Y930" s="50">
        <v>0.99068070203047709</v>
      </c>
      <c r="Z930" s="50">
        <v>0.99068070203047709</v>
      </c>
    </row>
    <row r="931" spans="19:26">
      <c r="S931" s="50">
        <v>0.9590473890121205</v>
      </c>
      <c r="T931" s="50">
        <v>0.94593166600782264</v>
      </c>
      <c r="U931" s="50">
        <v>0.93255063032285557</v>
      </c>
      <c r="V931" s="50">
        <v>0.87588249800552431</v>
      </c>
      <c r="W931" s="50">
        <v>0.66979548113726317</v>
      </c>
      <c r="X931" s="50">
        <v>0.66979548113726317</v>
      </c>
      <c r="Y931" s="50">
        <v>0.98568188461280526</v>
      </c>
      <c r="Z931" s="50">
        <v>0.98568188461280526</v>
      </c>
    </row>
    <row r="932" spans="19:26">
      <c r="S932" s="50">
        <v>0.9615558557856555</v>
      </c>
      <c r="T932" s="50">
        <v>0.94921856929554849</v>
      </c>
      <c r="U932" s="50">
        <v>0.9430642146869308</v>
      </c>
      <c r="V932" s="50">
        <v>0.99508083621321852</v>
      </c>
      <c r="W932" s="50">
        <v>0.76100069340905419</v>
      </c>
      <c r="X932" s="50">
        <v>0.76100069340905419</v>
      </c>
      <c r="Y932" s="50">
        <v>0.99113752071524464</v>
      </c>
      <c r="Z932" s="50">
        <v>0.99113752071524464</v>
      </c>
    </row>
    <row r="933" spans="19:26">
      <c r="S933" s="50">
        <v>0.96208287596181508</v>
      </c>
      <c r="T933" s="50">
        <v>0.94990786280805684</v>
      </c>
      <c r="U933" s="50">
        <v>1.0037942461368718</v>
      </c>
      <c r="V933" s="50">
        <v>0.92801035030124523</v>
      </c>
      <c r="W933" s="50">
        <v>0.77324300892644848</v>
      </c>
      <c r="X933" s="50">
        <v>0.77324300892644848</v>
      </c>
      <c r="Y933" s="50">
        <v>0.99274727339258872</v>
      </c>
      <c r="Z933" s="50">
        <v>0.99274727339258872</v>
      </c>
    </row>
    <row r="934" spans="19:26">
      <c r="S934" s="50">
        <v>0.96297066083062433</v>
      </c>
      <c r="T934" s="50">
        <v>0.95106488652845389</v>
      </c>
      <c r="U934" s="50">
        <v>0.86153102932662751</v>
      </c>
      <c r="V934" s="50">
        <v>0.83221203687317125</v>
      </c>
      <c r="W934" s="50">
        <v>0.76470874952678236</v>
      </c>
      <c r="X934" s="50">
        <v>0.76470874952678236</v>
      </c>
      <c r="Y934" s="50">
        <v>0.99672143789630274</v>
      </c>
      <c r="Z934" s="50">
        <v>0.99672143789630274</v>
      </c>
    </row>
    <row r="935" spans="19:26">
      <c r="S935" s="50">
        <v>0.95859742650460977</v>
      </c>
      <c r="T935" s="50">
        <v>0.94537256094402322</v>
      </c>
      <c r="U935" s="50">
        <v>0.87071253905236801</v>
      </c>
      <c r="V935" s="50">
        <v>0.89299022491141766</v>
      </c>
      <c r="W935" s="50">
        <v>0.80897677073658258</v>
      </c>
      <c r="X935" s="50">
        <v>0.80897677073658258</v>
      </c>
      <c r="Y935" s="50">
        <v>0.9792512704004267</v>
      </c>
      <c r="Z935" s="50">
        <v>0.9792512704004267</v>
      </c>
    </row>
    <row r="936" spans="19:26">
      <c r="S936" s="50">
        <v>0.9601351132296001</v>
      </c>
      <c r="T936" s="50">
        <v>0.94736892235008818</v>
      </c>
      <c r="U936" s="50">
        <v>0.7924670352169908</v>
      </c>
      <c r="V936" s="50">
        <v>0.90846203063159447</v>
      </c>
      <c r="W936" s="50">
        <v>0.77340244582986972</v>
      </c>
      <c r="X936" s="50">
        <v>0.77340244582986972</v>
      </c>
      <c r="Y936" s="50">
        <v>0.98544599930898513</v>
      </c>
      <c r="Z936" s="50">
        <v>0.98544599930898513</v>
      </c>
    </row>
    <row r="937" spans="19:26">
      <c r="S937" s="50">
        <v>0.9572589682151218</v>
      </c>
      <c r="T937" s="50">
        <v>0.9436331098630244</v>
      </c>
      <c r="U937" s="50">
        <v>0.90181026034616807</v>
      </c>
      <c r="V937" s="50">
        <v>0.7794661597701783</v>
      </c>
      <c r="W937" s="50">
        <v>0.81800129089610141</v>
      </c>
      <c r="X937" s="50">
        <v>0.81800129089610141</v>
      </c>
      <c r="Y937" s="50">
        <v>0.97494527958103006</v>
      </c>
      <c r="Z937" s="50">
        <v>0.97494527958103006</v>
      </c>
    </row>
    <row r="938" spans="19:26">
      <c r="S938" s="50">
        <v>0.96352212143656646</v>
      </c>
      <c r="T938" s="50">
        <v>0.95179186519298031</v>
      </c>
      <c r="U938" s="50">
        <v>0.94544262097274212</v>
      </c>
      <c r="V938" s="50">
        <v>0.90117403953683328</v>
      </c>
      <c r="W938" s="50">
        <v>0.81393408657446065</v>
      </c>
      <c r="X938" s="50">
        <v>0.81393408657446065</v>
      </c>
      <c r="Y938" s="50">
        <v>0.99719345550390226</v>
      </c>
      <c r="Z938" s="50">
        <v>0.99719345550390226</v>
      </c>
    </row>
    <row r="939" spans="19:26">
      <c r="S939" s="50">
        <v>0.96109396939052627</v>
      </c>
      <c r="T939" s="50">
        <v>0.94861671734244246</v>
      </c>
      <c r="U939" s="50">
        <v>0.98455598018873791</v>
      </c>
      <c r="V939" s="50">
        <v>0.909707720038331</v>
      </c>
      <c r="W939" s="50">
        <v>0.76304269166477867</v>
      </c>
      <c r="X939" s="50">
        <v>0.76304269166477867</v>
      </c>
      <c r="Y939" s="50">
        <v>0.98929826365460005</v>
      </c>
      <c r="Z939" s="50">
        <v>0.98929826365460005</v>
      </c>
    </row>
    <row r="940" spans="19:26">
      <c r="S940" s="50">
        <v>0.96250046148214574</v>
      </c>
      <c r="T940" s="50">
        <v>0.95044249812732429</v>
      </c>
      <c r="U940" s="50">
        <v>0.94848624955224958</v>
      </c>
      <c r="V940" s="50">
        <v>0.87718595687906098</v>
      </c>
      <c r="W940" s="50">
        <v>0.71398845941966282</v>
      </c>
      <c r="X940" s="50">
        <v>0.71398845941966282</v>
      </c>
      <c r="Y940" s="50">
        <v>0.99698004549758468</v>
      </c>
      <c r="Z940" s="50">
        <v>0.99698004549758468</v>
      </c>
    </row>
    <row r="941" spans="19:26">
      <c r="S941" s="50">
        <v>0.96422345422130273</v>
      </c>
      <c r="T941" s="50">
        <v>0.95271267032348728</v>
      </c>
      <c r="U941" s="50">
        <v>0.98259913459051329</v>
      </c>
      <c r="V941" s="50">
        <v>1.0607842835038943</v>
      </c>
      <c r="W941" s="50">
        <v>0.85443423610269686</v>
      </c>
      <c r="X941" s="50">
        <v>0.85443423610269686</v>
      </c>
      <c r="Y941" s="50">
        <v>0.99884909654796439</v>
      </c>
      <c r="Z941" s="50">
        <v>0.99884909654796439</v>
      </c>
    </row>
    <row r="942" spans="19:26">
      <c r="S942" s="50">
        <v>0.9605170763769868</v>
      </c>
      <c r="T942" s="50">
        <v>0.94787147959389328</v>
      </c>
      <c r="U942" s="50">
        <v>0.98768908056177884</v>
      </c>
      <c r="V942" s="50">
        <v>0.99831134654042342</v>
      </c>
      <c r="W942" s="50">
        <v>0.8051335545472883</v>
      </c>
      <c r="X942" s="50">
        <v>0.8051335545472883</v>
      </c>
      <c r="Y942" s="50">
        <v>0.9857970054206564</v>
      </c>
      <c r="Z942" s="50">
        <v>0.9857970054206564</v>
      </c>
    </row>
    <row r="943" spans="19:26">
      <c r="S943" s="50">
        <v>0.96247759543801858</v>
      </c>
      <c r="T943" s="50">
        <v>0.95042609063303718</v>
      </c>
      <c r="U943" s="50">
        <v>1.0866345923511569</v>
      </c>
      <c r="V943" s="50">
        <v>1.0587227173033917</v>
      </c>
      <c r="W943" s="50">
        <v>0.79521984878458329</v>
      </c>
      <c r="X943" s="50">
        <v>0.79521984878458329</v>
      </c>
      <c r="Y943" s="50">
        <v>0.99352934736515119</v>
      </c>
      <c r="Z943" s="50">
        <v>0.99352934736515119</v>
      </c>
    </row>
    <row r="944" spans="19:26">
      <c r="S944" s="50">
        <v>0.96453308293558804</v>
      </c>
      <c r="T944" s="50">
        <v>0.95311901658223375</v>
      </c>
      <c r="U944" s="50">
        <v>0.90606990469754189</v>
      </c>
      <c r="V944" s="50">
        <v>0.87113618503021806</v>
      </c>
      <c r="W944" s="50">
        <v>0.87158586576857011</v>
      </c>
      <c r="X944" s="50">
        <v>0.87158586576857011</v>
      </c>
      <c r="Y944" s="50">
        <v>0.99966454441152508</v>
      </c>
      <c r="Z944" s="50">
        <v>0.99966454441152508</v>
      </c>
    </row>
    <row r="945" spans="19:26">
      <c r="S945" s="50">
        <v>0.96051538763733013</v>
      </c>
      <c r="T945" s="50">
        <v>0.94787476214099653</v>
      </c>
      <c r="U945" s="50">
        <v>1.0163794837886764</v>
      </c>
      <c r="V945" s="50">
        <v>1.0127845158927873</v>
      </c>
      <c r="W945" s="50">
        <v>0.84444711111279558</v>
      </c>
      <c r="X945" s="50">
        <v>0.84444711111279558</v>
      </c>
      <c r="Y945" s="50">
        <v>0.98468220330653411</v>
      </c>
      <c r="Z945" s="50">
        <v>0.98468220330653411</v>
      </c>
    </row>
    <row r="946" spans="19:26">
      <c r="S946" s="50">
        <v>0.96177267417084356</v>
      </c>
      <c r="T946" s="50">
        <v>0.94950426608348948</v>
      </c>
      <c r="U946" s="50">
        <v>0.99165495351682653</v>
      </c>
      <c r="V946" s="50">
        <v>0.97236798752492737</v>
      </c>
      <c r="W946" s="50">
        <v>0.77951986746495283</v>
      </c>
      <c r="X946" s="50">
        <v>0.77951986746495283</v>
      </c>
      <c r="Y946" s="50">
        <v>0.9912991192493934</v>
      </c>
      <c r="Z946" s="50">
        <v>0.9912991192493934</v>
      </c>
    </row>
    <row r="947" spans="19:26">
      <c r="S947" s="50">
        <v>0.96044601686656939</v>
      </c>
      <c r="T947" s="50">
        <v>0.94778153111865371</v>
      </c>
      <c r="U947" s="50">
        <v>0.90433941826071196</v>
      </c>
      <c r="V947" s="50">
        <v>1.0053029951393755</v>
      </c>
      <c r="W947" s="50">
        <v>0.82342142584118694</v>
      </c>
      <c r="X947" s="50">
        <v>0.82342142584118694</v>
      </c>
      <c r="Y947" s="50">
        <v>0.9850135248402383</v>
      </c>
      <c r="Z947" s="50">
        <v>0.9850135248402383</v>
      </c>
    </row>
    <row r="948" spans="19:26">
      <c r="S948" s="50">
        <v>0.95215573617375349</v>
      </c>
      <c r="T948" s="50">
        <v>0.93700728539707678</v>
      </c>
      <c r="U948" s="50">
        <v>0.84613970643391268</v>
      </c>
      <c r="V948" s="50">
        <v>0.92843201597556457</v>
      </c>
      <c r="W948" s="50">
        <v>0.80226413162481602</v>
      </c>
      <c r="X948" s="50">
        <v>0.80226413162481602</v>
      </c>
      <c r="Y948" s="50">
        <v>0.96210288160199842</v>
      </c>
      <c r="Z948" s="50">
        <v>0.96210288160199842</v>
      </c>
    </row>
    <row r="949" spans="19:26">
      <c r="S949" s="50">
        <v>0.9622606880468918</v>
      </c>
      <c r="T949" s="50">
        <v>0.95014178292896601</v>
      </c>
      <c r="U949" s="50">
        <v>1.1312823433675161</v>
      </c>
      <c r="V949" s="50">
        <v>1.0655981371361674</v>
      </c>
      <c r="W949" s="50">
        <v>0.78613987908554406</v>
      </c>
      <c r="X949" s="50">
        <v>0.78613987908554406</v>
      </c>
      <c r="Y949" s="50">
        <v>0.99298346172480434</v>
      </c>
      <c r="Z949" s="50">
        <v>0.99298346172480434</v>
      </c>
    </row>
    <row r="950" spans="19:26">
      <c r="S950" s="50">
        <v>0.96104552668149501</v>
      </c>
      <c r="T950" s="50">
        <v>0.94855544204882614</v>
      </c>
      <c r="U950" s="50">
        <v>0.89317260795213416</v>
      </c>
      <c r="V950" s="50">
        <v>0.88298443307962415</v>
      </c>
      <c r="W950" s="50">
        <v>0.77452490106139227</v>
      </c>
      <c r="X950" s="50">
        <v>0.77452490106139227</v>
      </c>
      <c r="Y950" s="50">
        <v>0.98870876355717463</v>
      </c>
      <c r="Z950" s="50">
        <v>0.98870876355717463</v>
      </c>
    </row>
    <row r="951" spans="19:26">
      <c r="S951" s="50">
        <v>0.96359465346044992</v>
      </c>
      <c r="T951" s="50">
        <v>0.95188365995172852</v>
      </c>
      <c r="U951" s="50">
        <v>0.95132544301221011</v>
      </c>
      <c r="V951" s="50">
        <v>0.92958426522176818</v>
      </c>
      <c r="W951" s="50">
        <v>0.79287914644041269</v>
      </c>
      <c r="X951" s="50">
        <v>0.79287914644041269</v>
      </c>
      <c r="Y951" s="50">
        <v>0.99827990699432134</v>
      </c>
      <c r="Z951" s="50">
        <v>0.99827990699432134</v>
      </c>
    </row>
    <row r="952" spans="19:26">
      <c r="S952" s="50">
        <v>0.96373557842976643</v>
      </c>
      <c r="T952" s="50">
        <v>0.95207012526992862</v>
      </c>
      <c r="U952" s="50">
        <v>0.86496675850192006</v>
      </c>
      <c r="V952" s="50">
        <v>0.91874286944763306</v>
      </c>
      <c r="W952" s="50">
        <v>0.81075602408342751</v>
      </c>
      <c r="X952" s="50">
        <v>0.81075602408342751</v>
      </c>
      <c r="Y952" s="50">
        <v>0.99822384859476454</v>
      </c>
      <c r="Z952" s="50">
        <v>0.99822384859476454</v>
      </c>
    </row>
    <row r="953" spans="19:26">
      <c r="S953" s="50">
        <v>0.96287951862608601</v>
      </c>
      <c r="T953" s="50">
        <v>0.95094865379597282</v>
      </c>
      <c r="U953" s="50">
        <v>1.096167212813107</v>
      </c>
      <c r="V953" s="50">
        <v>0.8746382210371848</v>
      </c>
      <c r="W953" s="50">
        <v>0.78243568214457426</v>
      </c>
      <c r="X953" s="50">
        <v>0.78243568214457426</v>
      </c>
      <c r="Y953" s="50">
        <v>0.99564180981100048</v>
      </c>
      <c r="Z953" s="50">
        <v>0.99564180981100048</v>
      </c>
    </row>
    <row r="954" spans="19:26">
      <c r="S954" s="50">
        <v>0.96234034241162614</v>
      </c>
      <c r="T954" s="50">
        <v>0.95024222842406869</v>
      </c>
      <c r="U954" s="50">
        <v>0.92354877040870964</v>
      </c>
      <c r="V954" s="50">
        <v>0.78808701921306934</v>
      </c>
      <c r="W954" s="50">
        <v>0.76377419787295253</v>
      </c>
      <c r="X954" s="50">
        <v>0.76377419787295253</v>
      </c>
      <c r="Y954" s="50">
        <v>0.99414462263847514</v>
      </c>
      <c r="Z954" s="50">
        <v>0.99414462263847514</v>
      </c>
    </row>
    <row r="955" spans="19:26">
      <c r="S955" s="50">
        <v>0.96206738699851002</v>
      </c>
      <c r="T955" s="50">
        <v>0.94988255152697754</v>
      </c>
      <c r="U955" s="50">
        <v>0.93205261676342188</v>
      </c>
      <c r="V955" s="50">
        <v>1.0218010612395507</v>
      </c>
      <c r="W955" s="50">
        <v>0.74224147008022445</v>
      </c>
      <c r="X955" s="50">
        <v>0.74224147008022445</v>
      </c>
      <c r="Y955" s="50">
        <v>0.9939105539191786</v>
      </c>
      <c r="Z955" s="50">
        <v>0.9939105539191786</v>
      </c>
    </row>
    <row r="956" spans="19:26">
      <c r="S956" s="50">
        <v>0.96016738303850002</v>
      </c>
      <c r="T956" s="50">
        <v>0.94739210054156531</v>
      </c>
      <c r="U956" s="50">
        <v>0.95399362983367131</v>
      </c>
      <c r="V956" s="50">
        <v>1.0318038342956573</v>
      </c>
      <c r="W956" s="50">
        <v>0.67594847084015275</v>
      </c>
      <c r="X956" s="50">
        <v>0.67594847084015275</v>
      </c>
      <c r="Y956" s="50">
        <v>0.98948543458035232</v>
      </c>
      <c r="Z956" s="50">
        <v>0.98948543458035232</v>
      </c>
    </row>
    <row r="957" spans="19:26">
      <c r="S957" s="50">
        <v>0.95614508654717378</v>
      </c>
      <c r="T957" s="50">
        <v>0.94218362514591847</v>
      </c>
      <c r="U957" s="50">
        <v>0.97751675341671107</v>
      </c>
      <c r="V957" s="50">
        <v>1.148706291258091</v>
      </c>
      <c r="W957" s="50">
        <v>0.80581553753873736</v>
      </c>
      <c r="X957" s="50">
        <v>0.80581553753873736</v>
      </c>
      <c r="Y957" s="50">
        <v>0.97205627107757009</v>
      </c>
      <c r="Z957" s="50">
        <v>0.97205627107757009</v>
      </c>
    </row>
    <row r="958" spans="19:26">
      <c r="S958" s="50">
        <v>0.9549476977185819</v>
      </c>
      <c r="T958" s="50">
        <v>0.94062547309961331</v>
      </c>
      <c r="U958" s="50">
        <v>0.94813646830252873</v>
      </c>
      <c r="V958" s="50">
        <v>1.1595872704547892</v>
      </c>
      <c r="W958" s="50">
        <v>0.78691921005879972</v>
      </c>
      <c r="X958" s="50">
        <v>0.78691921005879972</v>
      </c>
      <c r="Y958" s="50">
        <v>0.96926289564393675</v>
      </c>
      <c r="Z958" s="50">
        <v>0.96926289564393675</v>
      </c>
    </row>
    <row r="959" spans="19:26">
      <c r="S959" s="50">
        <v>0.9588056845838091</v>
      </c>
      <c r="T959" s="50">
        <v>0.94562116423607112</v>
      </c>
      <c r="U959" s="50">
        <v>0.98971083415083272</v>
      </c>
      <c r="V959" s="50">
        <v>0.91241284839538028</v>
      </c>
      <c r="W959" s="50">
        <v>0.68790581149447749</v>
      </c>
      <c r="X959" s="50">
        <v>0.68790581149447749</v>
      </c>
      <c r="Y959" s="50">
        <v>0.98402319409266337</v>
      </c>
      <c r="Z959" s="50">
        <v>0.98402319409266337</v>
      </c>
    </row>
    <row r="960" spans="19:26">
      <c r="S960" s="50">
        <v>0.96401254473182496</v>
      </c>
      <c r="T960" s="50">
        <v>0.95243456665553405</v>
      </c>
      <c r="U960" s="50">
        <v>0.73617730749675359</v>
      </c>
      <c r="V960" s="50">
        <v>0.90552557005771994</v>
      </c>
      <c r="W960" s="50">
        <v>0.83229365850428561</v>
      </c>
      <c r="X960" s="50">
        <v>0.83229365850428561</v>
      </c>
      <c r="Y960" s="50">
        <v>0.99866660947495178</v>
      </c>
      <c r="Z960" s="50">
        <v>0.99866660947495178</v>
      </c>
    </row>
    <row r="961" spans="19:26">
      <c r="S961" s="50">
        <v>0.9559988111541301</v>
      </c>
      <c r="T961" s="50">
        <v>0.94198274832369799</v>
      </c>
      <c r="U961" s="50">
        <v>0.97946374559049276</v>
      </c>
      <c r="V961" s="50">
        <v>0.97997314460573071</v>
      </c>
      <c r="W961" s="50">
        <v>0.74518669694945261</v>
      </c>
      <c r="X961" s="50">
        <v>0.74518669694945261</v>
      </c>
      <c r="Y961" s="50">
        <v>0.97322373917454208</v>
      </c>
      <c r="Z961" s="50">
        <v>0.97322373917454208</v>
      </c>
    </row>
    <row r="962" spans="19:26">
      <c r="S962" s="50">
        <v>0.96285481163255149</v>
      </c>
      <c r="T962" s="50">
        <v>0.95090928388212337</v>
      </c>
      <c r="U962" s="50">
        <v>0.96868418145160784</v>
      </c>
      <c r="V962" s="50">
        <v>0.99808032093846522</v>
      </c>
      <c r="W962" s="50">
        <v>0.73800161271099907</v>
      </c>
      <c r="X962" s="50">
        <v>0.73800161271099907</v>
      </c>
      <c r="Y962" s="50">
        <v>0.99737142583555871</v>
      </c>
      <c r="Z962" s="50">
        <v>0.99737142583555871</v>
      </c>
    </row>
    <row r="963" spans="19:26">
      <c r="S963" s="50">
        <v>0.96345086931832369</v>
      </c>
      <c r="T963" s="50">
        <v>0.95169403911809414</v>
      </c>
      <c r="U963" s="50">
        <v>0.87998310769656896</v>
      </c>
      <c r="V963" s="50">
        <v>0.91343055399867124</v>
      </c>
      <c r="W963" s="50">
        <v>0.77979554796924511</v>
      </c>
      <c r="X963" s="50">
        <v>0.77979554796924511</v>
      </c>
      <c r="Y963" s="50">
        <v>0.9981681723153063</v>
      </c>
      <c r="Z963" s="50">
        <v>0.9981681723153063</v>
      </c>
    </row>
    <row r="964" spans="19:26">
      <c r="S964" s="50">
        <v>0.96239344768626978</v>
      </c>
      <c r="T964" s="50">
        <v>0.95031229480462387</v>
      </c>
      <c r="U964" s="50">
        <v>0.8590164248430312</v>
      </c>
      <c r="V964" s="50">
        <v>0.86085372072196342</v>
      </c>
      <c r="W964" s="50">
        <v>0.76869289238032357</v>
      </c>
      <c r="X964" s="50">
        <v>0.76869289238032357</v>
      </c>
      <c r="Y964" s="50">
        <v>0.99416886441230357</v>
      </c>
      <c r="Z964" s="50">
        <v>0.99416886441230357</v>
      </c>
    </row>
    <row r="965" spans="19:26">
      <c r="S965" s="50">
        <v>0.95841696625288308</v>
      </c>
      <c r="T965" s="50">
        <v>0.94512829296701406</v>
      </c>
      <c r="U965" s="50">
        <v>0.82869448672264268</v>
      </c>
      <c r="V965" s="50">
        <v>0.81374375091295192</v>
      </c>
      <c r="W965" s="50">
        <v>0.7523744719135903</v>
      </c>
      <c r="X965" s="50">
        <v>0.7523744719135903</v>
      </c>
      <c r="Y965" s="50">
        <v>0.98032992091065174</v>
      </c>
      <c r="Z965" s="50">
        <v>0.98032992091065174</v>
      </c>
    </row>
    <row r="966" spans="19:26">
      <c r="S966" s="50">
        <v>0.95986593728978686</v>
      </c>
      <c r="T966" s="50">
        <v>0.94702051876951443</v>
      </c>
      <c r="U966" s="50">
        <v>0.88248372214977955</v>
      </c>
      <c r="V966" s="50">
        <v>0.96547989617529939</v>
      </c>
      <c r="W966" s="50">
        <v>0.78710544910957125</v>
      </c>
      <c r="X966" s="50">
        <v>0.78710544910957125</v>
      </c>
      <c r="Y966" s="50">
        <v>0.98406985565036564</v>
      </c>
      <c r="Z966" s="50">
        <v>0.98406985565036564</v>
      </c>
    </row>
    <row r="967" spans="19:26">
      <c r="S967" s="50">
        <v>0.96006828468913319</v>
      </c>
      <c r="T967" s="50">
        <v>0.94728464283125169</v>
      </c>
      <c r="U967" s="50">
        <v>0.95902870545635166</v>
      </c>
      <c r="V967" s="50">
        <v>0.9073520844920524</v>
      </c>
      <c r="W967" s="50">
        <v>0.79074108783035313</v>
      </c>
      <c r="X967" s="50">
        <v>0.79074108783035313</v>
      </c>
      <c r="Y967" s="50">
        <v>0.98465854721169921</v>
      </c>
      <c r="Z967" s="50">
        <v>0.98465854721169921</v>
      </c>
    </row>
    <row r="968" spans="19:26">
      <c r="S968" s="50">
        <v>0.95772760346960639</v>
      </c>
      <c r="T968" s="50">
        <v>0.94423843063684454</v>
      </c>
      <c r="U968" s="50">
        <v>0.94177090552806786</v>
      </c>
      <c r="V968" s="50">
        <v>0.94159298996582041</v>
      </c>
      <c r="W968" s="50">
        <v>0.79248951069387275</v>
      </c>
      <c r="X968" s="50">
        <v>0.79248951069387275</v>
      </c>
      <c r="Y968" s="50">
        <v>0.9769898011656224</v>
      </c>
      <c r="Z968" s="50">
        <v>0.9769898011656224</v>
      </c>
    </row>
    <row r="969" spans="19:26">
      <c r="S969" s="50">
        <v>0.96032651290207072</v>
      </c>
      <c r="T969" s="50">
        <v>0.94762283050170526</v>
      </c>
      <c r="U969" s="50">
        <v>0.90773176951877887</v>
      </c>
      <c r="V969" s="50">
        <v>0.91591815397777943</v>
      </c>
      <c r="W969" s="50">
        <v>0.80258039937181014</v>
      </c>
      <c r="X969" s="50">
        <v>0.80258039937181014</v>
      </c>
      <c r="Y969" s="50">
        <v>0.98520102963873457</v>
      </c>
      <c r="Z969" s="50">
        <v>0.98520102963873457</v>
      </c>
    </row>
    <row r="970" spans="19:26">
      <c r="S970" s="50">
        <v>0.9614152304387289</v>
      </c>
      <c r="T970" s="50">
        <v>0.94903851268698991</v>
      </c>
      <c r="U970" s="50">
        <v>0.8932723328215636</v>
      </c>
      <c r="V970" s="50">
        <v>0.97641459640611983</v>
      </c>
      <c r="W970" s="50">
        <v>0.78162229203196121</v>
      </c>
      <c r="X970" s="50">
        <v>0.78162229203196121</v>
      </c>
      <c r="Y970" s="50">
        <v>0.98985265744756223</v>
      </c>
      <c r="Z970" s="50">
        <v>0.98985265744756223</v>
      </c>
    </row>
    <row r="971" spans="19:26">
      <c r="S971" s="50">
        <v>0.96370851681268799</v>
      </c>
      <c r="T971" s="50">
        <v>0.95204416476005471</v>
      </c>
      <c r="U971" s="50">
        <v>0.94240775928157738</v>
      </c>
      <c r="V971" s="50">
        <v>0.81502704009251281</v>
      </c>
      <c r="W971" s="50">
        <v>0.88865552293673389</v>
      </c>
      <c r="X971" s="50">
        <v>0.88865552293673389</v>
      </c>
      <c r="Y971" s="50">
        <v>0.99562488653340753</v>
      </c>
      <c r="Z971" s="50">
        <v>0.99562488653340753</v>
      </c>
    </row>
    <row r="972" spans="19:26">
      <c r="S972" s="50">
        <v>0.95777910593389293</v>
      </c>
      <c r="T972" s="50">
        <v>0.94429851100730045</v>
      </c>
      <c r="U972" s="50">
        <v>0.86586027832557522</v>
      </c>
      <c r="V972" s="50">
        <v>1.1004417229144317</v>
      </c>
      <c r="W972" s="50">
        <v>0.75276499555750254</v>
      </c>
      <c r="X972" s="50">
        <v>0.75276499555750254</v>
      </c>
      <c r="Y972" s="50">
        <v>0.97829325851266102</v>
      </c>
      <c r="Z972" s="50">
        <v>0.97829325851266102</v>
      </c>
    </row>
    <row r="973" spans="19:26">
      <c r="S973" s="50">
        <v>0.96155128853820193</v>
      </c>
      <c r="T973" s="50">
        <v>0.94921574891172422</v>
      </c>
      <c r="U973" s="50">
        <v>0.96293972264938876</v>
      </c>
      <c r="V973" s="50">
        <v>0.99639373739031645</v>
      </c>
      <c r="W973" s="50">
        <v>0.78059276965391577</v>
      </c>
      <c r="X973" s="50">
        <v>0.78059276965391577</v>
      </c>
      <c r="Y973" s="50">
        <v>0.99040723596763025</v>
      </c>
      <c r="Z973" s="50">
        <v>0.99040723596763025</v>
      </c>
    </row>
    <row r="974" spans="19:26">
      <c r="S974" s="50">
        <v>0.96331718498646113</v>
      </c>
      <c r="T974" s="50">
        <v>0.9515107207943585</v>
      </c>
      <c r="U974" s="50">
        <v>1.0411342067038654</v>
      </c>
      <c r="V974" s="50">
        <v>0.91483839874437589</v>
      </c>
      <c r="W974" s="50">
        <v>0.72566554977123521</v>
      </c>
      <c r="X974" s="50">
        <v>0.72566554977123521</v>
      </c>
      <c r="Y974" s="50">
        <v>0.99996417977906971</v>
      </c>
      <c r="Z974" s="50">
        <v>0.99996417977906971</v>
      </c>
    </row>
    <row r="975" spans="19:26">
      <c r="S975" s="50">
        <v>0.9622177241421751</v>
      </c>
      <c r="T975" s="50">
        <v>0.95008781772842077</v>
      </c>
      <c r="U975" s="50">
        <v>0.90326624256264165</v>
      </c>
      <c r="V975" s="50">
        <v>0.91180693802086776</v>
      </c>
      <c r="W975" s="50">
        <v>0.80029957808918462</v>
      </c>
      <c r="X975" s="50">
        <v>0.80029957808918462</v>
      </c>
      <c r="Y975" s="50">
        <v>0.99231728820500731</v>
      </c>
      <c r="Z975" s="50">
        <v>0.99231728820500731</v>
      </c>
    </row>
    <row r="976" spans="19:26">
      <c r="S976" s="50">
        <v>0.95971969289563652</v>
      </c>
      <c r="T976" s="50">
        <v>0.94684090690127409</v>
      </c>
      <c r="U976" s="50">
        <v>0.93570628946541901</v>
      </c>
      <c r="V976" s="50">
        <v>0.84089168068359732</v>
      </c>
      <c r="W976" s="50">
        <v>0.86337897712638578</v>
      </c>
      <c r="X976" s="50">
        <v>0.86337897712638578</v>
      </c>
      <c r="Y976" s="50">
        <v>0.98151342243116024</v>
      </c>
      <c r="Z976" s="50">
        <v>0.98151342243116024</v>
      </c>
    </row>
    <row r="977" spans="19:26">
      <c r="S977" s="50">
        <v>0.96121368171493049</v>
      </c>
      <c r="T977" s="50">
        <v>0.94876957632215109</v>
      </c>
      <c r="U977" s="50">
        <v>0.97962559074993161</v>
      </c>
      <c r="V977" s="50">
        <v>0.89968242536242005</v>
      </c>
      <c r="W977" s="50">
        <v>0.74426781069922454</v>
      </c>
      <c r="X977" s="50">
        <v>0.74426781069922454</v>
      </c>
      <c r="Y977" s="50">
        <v>0.99046349876151485</v>
      </c>
      <c r="Z977" s="50">
        <v>0.99046349876151485</v>
      </c>
    </row>
    <row r="978" spans="19:26">
      <c r="S978" s="50">
        <v>0.9590830162708025</v>
      </c>
      <c r="T978" s="50">
        <v>0.94599823317053588</v>
      </c>
      <c r="U978" s="50">
        <v>0.88867478854071869</v>
      </c>
      <c r="V978" s="50">
        <v>0.80594829078770824</v>
      </c>
      <c r="W978" s="50">
        <v>0.76972556259293523</v>
      </c>
      <c r="X978" s="50">
        <v>0.76972556259293523</v>
      </c>
      <c r="Y978" s="50">
        <v>0.98196092122229661</v>
      </c>
      <c r="Z978" s="50">
        <v>0.98196092122229661</v>
      </c>
    </row>
    <row r="979" spans="19:26">
      <c r="S979" s="50">
        <v>0.96065183033985402</v>
      </c>
      <c r="T979" s="50">
        <v>0.94802819692095552</v>
      </c>
      <c r="U979" s="50">
        <v>0.98742635885570873</v>
      </c>
      <c r="V979" s="50">
        <v>0.97715803242569765</v>
      </c>
      <c r="W979" s="50">
        <v>0.69753177887820661</v>
      </c>
      <c r="X979" s="50">
        <v>0.69753177887820661</v>
      </c>
      <c r="Y979" s="50">
        <v>0.9903012575290473</v>
      </c>
      <c r="Z979" s="50">
        <v>0.9903012575290473</v>
      </c>
    </row>
    <row r="980" spans="19:26">
      <c r="S980" s="50">
        <v>0.95903463842249914</v>
      </c>
      <c r="T980" s="50">
        <v>0.9459475901822636</v>
      </c>
      <c r="U980" s="50">
        <v>0.94757339629735537</v>
      </c>
      <c r="V980" s="50">
        <v>0.82550285184267758</v>
      </c>
      <c r="W980" s="50">
        <v>0.85146859629387395</v>
      </c>
      <c r="X980" s="50">
        <v>0.85146859629387395</v>
      </c>
      <c r="Y980" s="50">
        <v>0.97957547696355318</v>
      </c>
      <c r="Z980" s="50">
        <v>0.97957547696355318</v>
      </c>
    </row>
    <row r="981" spans="19:26">
      <c r="S981" s="50">
        <v>0.96038205580185032</v>
      </c>
      <c r="T981" s="50">
        <v>0.94770486179880697</v>
      </c>
      <c r="U981" s="50">
        <v>0.92812829083729786</v>
      </c>
      <c r="V981" s="50">
        <v>0.9876230053940227</v>
      </c>
      <c r="W981" s="50">
        <v>0.87435142043346392</v>
      </c>
      <c r="X981" s="50">
        <v>0.87435142043346392</v>
      </c>
      <c r="Y981" s="50">
        <v>0.98347315740007202</v>
      </c>
      <c r="Z981" s="50">
        <v>0.98347315740007202</v>
      </c>
    </row>
    <row r="982" spans="19:26">
      <c r="S982" s="50">
        <v>0.95623524697581963</v>
      </c>
      <c r="T982" s="50">
        <v>0.94228584290255513</v>
      </c>
      <c r="U982" s="50">
        <v>0.79697192098910508</v>
      </c>
      <c r="V982" s="50">
        <v>0.79163220618239993</v>
      </c>
      <c r="W982" s="50">
        <v>0.72491046469474396</v>
      </c>
      <c r="X982" s="50">
        <v>0.72491046469474396</v>
      </c>
      <c r="Y982" s="50">
        <v>0.97451747479848005</v>
      </c>
      <c r="Z982" s="50">
        <v>0.97451747479848005</v>
      </c>
    </row>
    <row r="983" spans="19:26">
      <c r="S983" s="50">
        <v>0.96267155248852543</v>
      </c>
      <c r="T983" s="50">
        <v>0.95065975265475244</v>
      </c>
      <c r="U983" s="50">
        <v>1.0122929670711078</v>
      </c>
      <c r="V983" s="50">
        <v>1.0225710832594574</v>
      </c>
      <c r="W983" s="50">
        <v>0.68353446975598653</v>
      </c>
      <c r="X983" s="50">
        <v>0.68353446975598653</v>
      </c>
      <c r="Y983" s="50">
        <v>0.99930307383760075</v>
      </c>
      <c r="Z983" s="50">
        <v>0.99930307383760075</v>
      </c>
    </row>
    <row r="984" spans="19:26">
      <c r="S984" s="50">
        <v>0.96074459971652892</v>
      </c>
      <c r="T984" s="50">
        <v>0.94816938683181839</v>
      </c>
      <c r="U984" s="50">
        <v>1.0260029642890707</v>
      </c>
      <c r="V984" s="50">
        <v>0.92278562635841221</v>
      </c>
      <c r="W984" s="50">
        <v>0.8151208830054455</v>
      </c>
      <c r="X984" s="50">
        <v>0.8151208830054455</v>
      </c>
      <c r="Y984" s="50">
        <v>0.98630989347208331</v>
      </c>
      <c r="Z984" s="50">
        <v>0.98630989347208331</v>
      </c>
    </row>
    <row r="985" spans="19:26">
      <c r="S985" s="50">
        <v>0.95870905275846863</v>
      </c>
      <c r="T985" s="50">
        <v>0.94552090839014846</v>
      </c>
      <c r="U985" s="50">
        <v>0.966339945355986</v>
      </c>
      <c r="V985" s="50">
        <v>1.025521225468923</v>
      </c>
      <c r="W985" s="50">
        <v>0.82992681493589715</v>
      </c>
      <c r="X985" s="50">
        <v>0.82992681493589715</v>
      </c>
      <c r="Y985" s="50">
        <v>0.97906561001832149</v>
      </c>
      <c r="Z985" s="50">
        <v>0.97906561001832149</v>
      </c>
    </row>
    <row r="986" spans="19:26">
      <c r="S986" s="50">
        <v>0.96355917634437804</v>
      </c>
      <c r="T986" s="50">
        <v>0.95183541954106132</v>
      </c>
      <c r="U986" s="50">
        <v>0.88583017334617831</v>
      </c>
      <c r="V986" s="50">
        <v>0.88486447666919843</v>
      </c>
      <c r="W986" s="50">
        <v>0.77963161381352941</v>
      </c>
      <c r="X986" s="50">
        <v>0.77963161381352941</v>
      </c>
      <c r="Y986" s="50">
        <v>0.99864489556057401</v>
      </c>
      <c r="Z986" s="50">
        <v>0.99864489556057401</v>
      </c>
    </row>
    <row r="987" spans="19:26">
      <c r="S987" s="50">
        <v>0.95967484311748563</v>
      </c>
      <c r="T987" s="50">
        <v>0.94676425619233451</v>
      </c>
      <c r="U987" s="50">
        <v>0.9708325694355141</v>
      </c>
      <c r="V987" s="50">
        <v>0.94071684938382116</v>
      </c>
      <c r="W987" s="50">
        <v>0.74367363684718035</v>
      </c>
      <c r="X987" s="50">
        <v>0.74367363684718035</v>
      </c>
      <c r="Y987" s="50">
        <v>0.98485294922250965</v>
      </c>
      <c r="Z987" s="50">
        <v>0.98485294922250965</v>
      </c>
    </row>
    <row r="988" spans="19:26">
      <c r="S988" s="50">
        <v>0.95963561844457856</v>
      </c>
      <c r="T988" s="50">
        <v>0.94672087517359216</v>
      </c>
      <c r="U988" s="50">
        <v>1.0594337938267209</v>
      </c>
      <c r="V988" s="50">
        <v>0.94849728431170632</v>
      </c>
      <c r="W988" s="50">
        <v>0.78899563027961273</v>
      </c>
      <c r="X988" s="50">
        <v>0.78899563027961273</v>
      </c>
      <c r="Y988" s="50">
        <v>0.98322395118353756</v>
      </c>
      <c r="Z988" s="50">
        <v>0.98322395118353756</v>
      </c>
    </row>
    <row r="989" spans="19:26">
      <c r="S989" s="50">
        <v>0.96264934717667572</v>
      </c>
      <c r="T989" s="50">
        <v>0.95065240264358619</v>
      </c>
      <c r="U989" s="50">
        <v>0.89847255028007811</v>
      </c>
      <c r="V989" s="50">
        <v>0.90198218692115251</v>
      </c>
      <c r="W989" s="50">
        <v>0.81099712015651426</v>
      </c>
      <c r="X989" s="50">
        <v>0.81099712015651426</v>
      </c>
      <c r="Y989" s="50">
        <v>0.993676953063378</v>
      </c>
      <c r="Z989" s="50">
        <v>0.993676953063378</v>
      </c>
    </row>
    <row r="990" spans="19:26">
      <c r="S990" s="50">
        <v>0.96150510081634655</v>
      </c>
      <c r="T990" s="50">
        <v>0.94915595634251793</v>
      </c>
      <c r="U990" s="50">
        <v>1.0735896118964188</v>
      </c>
      <c r="V990" s="50">
        <v>0.93917596173626883</v>
      </c>
      <c r="W990" s="50">
        <v>0.78337303462628505</v>
      </c>
      <c r="X990" s="50">
        <v>0.78337303462628505</v>
      </c>
      <c r="Y990" s="50">
        <v>0.99013388768758115</v>
      </c>
      <c r="Z990" s="50">
        <v>0.99013388768758115</v>
      </c>
    </row>
    <row r="991" spans="19:26">
      <c r="S991" s="50">
        <v>0.96055411786700706</v>
      </c>
      <c r="T991" s="50">
        <v>0.94791635741370317</v>
      </c>
      <c r="U991" s="50">
        <v>1.1033166055304549</v>
      </c>
      <c r="V991" s="50">
        <v>0.97058624189181919</v>
      </c>
      <c r="W991" s="50">
        <v>0.78295023130771113</v>
      </c>
      <c r="X991" s="50">
        <v>0.78295023130771113</v>
      </c>
      <c r="Y991" s="50">
        <v>0.98662559512618564</v>
      </c>
      <c r="Z991" s="50">
        <v>0.98662559512618564</v>
      </c>
    </row>
    <row r="992" spans="19:26">
      <c r="S992" s="50">
        <v>0.96215020878698332</v>
      </c>
      <c r="T992" s="50">
        <v>0.94998441394775757</v>
      </c>
      <c r="U992" s="50">
        <v>0.99937183953962894</v>
      </c>
      <c r="V992" s="50">
        <v>0.99407997093096867</v>
      </c>
      <c r="W992" s="50">
        <v>0.70846426616443547</v>
      </c>
      <c r="X992" s="50">
        <v>0.70846426616443547</v>
      </c>
      <c r="Y992" s="50">
        <v>0.99577230431925046</v>
      </c>
      <c r="Z992" s="50">
        <v>0.99577230431925046</v>
      </c>
    </row>
    <row r="993" spans="19:26">
      <c r="S993" s="50">
        <v>0.94938322983097823</v>
      </c>
      <c r="T993" s="50">
        <v>0.93340091759739519</v>
      </c>
      <c r="U993" s="50">
        <v>0.99242458875509398</v>
      </c>
      <c r="V993" s="50">
        <v>0.96866223859843625</v>
      </c>
      <c r="W993" s="50">
        <v>0.72064490210596799</v>
      </c>
      <c r="X993" s="50">
        <v>0.72064490210596799</v>
      </c>
      <c r="Y993" s="50">
        <v>0.95778804276583118</v>
      </c>
      <c r="Z993" s="50">
        <v>0.95778804276583118</v>
      </c>
    </row>
    <row r="994" spans="19:26">
      <c r="S994" s="50">
        <v>0.96107242009851779</v>
      </c>
      <c r="T994" s="50">
        <v>0.94860104494941866</v>
      </c>
      <c r="U994" s="50">
        <v>0.87363443122430962</v>
      </c>
      <c r="V994" s="50">
        <v>0.95280206999675254</v>
      </c>
      <c r="W994" s="50">
        <v>0.84803773847874897</v>
      </c>
      <c r="X994" s="50">
        <v>0.84803773847874897</v>
      </c>
      <c r="Y994" s="50">
        <v>0.98655626384159101</v>
      </c>
      <c r="Z994" s="50">
        <v>0.98655626384159101</v>
      </c>
    </row>
    <row r="995" spans="19:26">
      <c r="S995" s="50">
        <v>0.96072452865835423</v>
      </c>
      <c r="T995" s="50">
        <v>0.948151993529737</v>
      </c>
      <c r="U995" s="50">
        <v>0.89308024483940118</v>
      </c>
      <c r="V995" s="50">
        <v>0.73461927034566754</v>
      </c>
      <c r="W995" s="50">
        <v>0.88263359369061845</v>
      </c>
      <c r="X995" s="50">
        <v>0.88263359369061845</v>
      </c>
      <c r="Y995" s="50">
        <v>0.98445383872576508</v>
      </c>
      <c r="Z995" s="50">
        <v>0.98445383872576508</v>
      </c>
    </row>
    <row r="996" spans="19:26">
      <c r="S996" s="50">
        <v>0.96333028884198113</v>
      </c>
      <c r="T996" s="50">
        <v>0.9515314297524744</v>
      </c>
      <c r="U996" s="50">
        <v>1.0832062577603598</v>
      </c>
      <c r="V996" s="50">
        <v>1.0481376493295014</v>
      </c>
      <c r="W996" s="50">
        <v>0.74669059347207234</v>
      </c>
      <c r="X996" s="50">
        <v>0.74669059347207234</v>
      </c>
      <c r="Y996" s="50">
        <v>0.99904035981965655</v>
      </c>
      <c r="Z996" s="50">
        <v>0.99904035981965655</v>
      </c>
    </row>
    <row r="997" spans="19:26">
      <c r="S997" s="50">
        <v>0.95855818918981262</v>
      </c>
      <c r="T997" s="50">
        <v>0.94532158861243776</v>
      </c>
      <c r="U997" s="50">
        <v>0.93072132306335176</v>
      </c>
      <c r="V997" s="50">
        <v>0.99068633965067121</v>
      </c>
      <c r="W997" s="50">
        <v>0.80952292441167828</v>
      </c>
      <c r="X997" s="50">
        <v>0.80952292441167828</v>
      </c>
      <c r="Y997" s="50">
        <v>0.97911261697036744</v>
      </c>
      <c r="Z997" s="50">
        <v>0.97911261697036744</v>
      </c>
    </row>
    <row r="998" spans="19:26">
      <c r="S998" s="50">
        <v>0.96224312291742498</v>
      </c>
      <c r="T998" s="50">
        <v>0.95012842012444854</v>
      </c>
      <c r="U998" s="50">
        <v>1.066481841601675</v>
      </c>
      <c r="V998" s="50">
        <v>1.0114204298321159</v>
      </c>
      <c r="W998" s="50">
        <v>0.85671984335902918</v>
      </c>
      <c r="X998" s="50">
        <v>0.85671984335902918</v>
      </c>
      <c r="Y998" s="50">
        <v>0.99066670697483428</v>
      </c>
      <c r="Z998" s="50">
        <v>0.99066670697483428</v>
      </c>
    </row>
    <row r="999" spans="19:26">
      <c r="S999" s="50">
        <v>0.96290179159508449</v>
      </c>
      <c r="T999" s="50">
        <v>0.95097860493081066</v>
      </c>
      <c r="U999" s="50">
        <v>0.95884817293462243</v>
      </c>
      <c r="V999" s="50">
        <v>0.88428759895495801</v>
      </c>
      <c r="W999" s="50">
        <v>0.78841411890056168</v>
      </c>
      <c r="X999" s="50">
        <v>0.78841411890056168</v>
      </c>
      <c r="Y999" s="50">
        <v>0.99550987358357923</v>
      </c>
      <c r="Z999" s="50">
        <v>0.99550987358357923</v>
      </c>
    </row>
    <row r="1000" spans="19:26">
      <c r="S1000" s="50">
        <v>0.96098071474708602</v>
      </c>
      <c r="T1000" s="50">
        <v>0.94847553869892987</v>
      </c>
      <c r="U1000" s="50">
        <v>1.0276779746329983</v>
      </c>
      <c r="V1000" s="50">
        <v>0.85124590697406677</v>
      </c>
      <c r="W1000" s="50">
        <v>0.80439565698098248</v>
      </c>
      <c r="X1000" s="50">
        <v>0.80439565698098248</v>
      </c>
      <c r="Y1000" s="50">
        <v>0.9874881609261682</v>
      </c>
      <c r="Z1000" s="50">
        <v>0.9874881609261682</v>
      </c>
    </row>
    <row r="1001" spans="19:26">
      <c r="S1001" s="50">
        <v>0.95888649592884645</v>
      </c>
      <c r="T1001" s="50">
        <v>0.94575205462949163</v>
      </c>
      <c r="U1001" s="50">
        <v>0.94587640286472574</v>
      </c>
      <c r="V1001" s="50">
        <v>0.84999389773286704</v>
      </c>
      <c r="W1001" s="50">
        <v>0.83158204632808386</v>
      </c>
      <c r="X1001" s="50">
        <v>0.83158204632808386</v>
      </c>
      <c r="Y1001" s="50">
        <v>0.97958720948439748</v>
      </c>
      <c r="Z1001" s="50">
        <v>0.97958720948439748</v>
      </c>
    </row>
    <row r="1002" spans="19:26">
      <c r="S1002" s="50">
        <v>0.96051161577288513</v>
      </c>
      <c r="T1002" s="50">
        <v>0.947861036610809</v>
      </c>
      <c r="U1002" s="50">
        <v>0.91293881684849398</v>
      </c>
      <c r="V1002" s="50">
        <v>0.96200941759553693</v>
      </c>
      <c r="W1002" s="50">
        <v>0.78332454045230915</v>
      </c>
      <c r="X1002" s="50">
        <v>0.78332454045230915</v>
      </c>
      <c r="Y1002" s="50">
        <v>0.98646064255482224</v>
      </c>
      <c r="Z1002" s="50">
        <v>0.98646064255482224</v>
      </c>
    </row>
    <row r="1003" spans="19:26">
      <c r="S1003" s="50">
        <v>0.96113535060883926</v>
      </c>
      <c r="T1003" s="50">
        <v>0.94867432822765163</v>
      </c>
      <c r="U1003" s="50">
        <v>0.9689255671955469</v>
      </c>
      <c r="V1003" s="50">
        <v>0.84671349970921617</v>
      </c>
      <c r="W1003" s="50">
        <v>0.78599598842726837</v>
      </c>
      <c r="X1003" s="50">
        <v>0.78599598842726837</v>
      </c>
      <c r="Y1003" s="50">
        <v>0.98865184752113322</v>
      </c>
      <c r="Z1003" s="50">
        <v>0.98865184752113322</v>
      </c>
    </row>
    <row r="1004" spans="19:26">
      <c r="S1004" s="50">
        <v>0.95301637115931503</v>
      </c>
      <c r="T1004" s="50">
        <v>0.93812976512238577</v>
      </c>
      <c r="U1004" s="50">
        <v>1.058582675451132</v>
      </c>
      <c r="V1004" s="50">
        <v>1.1205291945909817</v>
      </c>
      <c r="W1004" s="50">
        <v>0.8452117431738112</v>
      </c>
      <c r="X1004" s="50">
        <v>0.8452117431738112</v>
      </c>
      <c r="Y1004" s="50">
        <v>0.96329590091880013</v>
      </c>
      <c r="Z1004" s="50">
        <v>0.96329590091880013</v>
      </c>
    </row>
    <row r="1005" spans="19:26">
      <c r="S1005" s="50">
        <v>0.96353731394345254</v>
      </c>
      <c r="T1005" s="50">
        <v>0.95182458311056206</v>
      </c>
      <c r="U1005" s="50">
        <v>0.89936716926236315</v>
      </c>
      <c r="V1005" s="50">
        <v>0.86661570506580266</v>
      </c>
      <c r="W1005" s="50">
        <v>0.92640747528977407</v>
      </c>
      <c r="X1005" s="50">
        <v>0.92640747528977407</v>
      </c>
      <c r="Y1005" s="50">
        <v>0.99392818739363609</v>
      </c>
      <c r="Z1005" s="50">
        <v>0.99392818739363609</v>
      </c>
    </row>
    <row r="1006" spans="19:26">
      <c r="S1006" s="50">
        <v>0.96302376383999233</v>
      </c>
      <c r="T1006" s="50">
        <v>0.95113868602060225</v>
      </c>
      <c r="U1006" s="50">
        <v>1.0480821719032229</v>
      </c>
      <c r="V1006" s="50">
        <v>0.95786688389682195</v>
      </c>
      <c r="W1006" s="50">
        <v>0.79461299748149106</v>
      </c>
      <c r="X1006" s="50">
        <v>0.79461299748149106</v>
      </c>
      <c r="Y1006" s="50">
        <v>0.99578858830258388</v>
      </c>
      <c r="Z1006" s="50">
        <v>0.99578858830258388</v>
      </c>
    </row>
    <row r="1007" spans="19:26">
      <c r="S1007" s="50">
        <v>0.96345152760551067</v>
      </c>
      <c r="T1007" s="50">
        <v>0.95170277240179724</v>
      </c>
      <c r="U1007" s="50">
        <v>0.87014105078508897</v>
      </c>
      <c r="V1007" s="50">
        <v>0.9019386007205108</v>
      </c>
      <c r="W1007" s="50">
        <v>0.83763091325386607</v>
      </c>
      <c r="X1007" s="50">
        <v>0.83763091325386607</v>
      </c>
      <c r="Y1007" s="50">
        <v>0.9960922576980995</v>
      </c>
      <c r="Z1007" s="50">
        <v>0.9960922576980995</v>
      </c>
    </row>
    <row r="1008" spans="19:26">
      <c r="S1008" s="50">
        <v>0.96450360465931673</v>
      </c>
      <c r="T1008" s="50">
        <v>0.95308074073661964</v>
      </c>
      <c r="U1008" s="50">
        <v>0.89049477953190626</v>
      </c>
      <c r="V1008" s="50">
        <v>0.8705500872889893</v>
      </c>
      <c r="W1008" s="50">
        <v>0.8736502659902784</v>
      </c>
      <c r="X1008" s="50">
        <v>0.8736502659902784</v>
      </c>
      <c r="Y1008" s="50">
        <v>0.99947018703338897</v>
      </c>
      <c r="Z1008" s="50">
        <v>0.99947018703338897</v>
      </c>
    </row>
    <row r="1009" spans="19:26">
      <c r="S1009" s="50">
        <v>0.96073664609218801</v>
      </c>
      <c r="T1009" s="50">
        <v>0.94814228649692467</v>
      </c>
      <c r="U1009" s="50">
        <v>0.86517270789787271</v>
      </c>
      <c r="V1009" s="50">
        <v>1.0257158099335422</v>
      </c>
      <c r="W1009" s="50">
        <v>0.71501036135535367</v>
      </c>
      <c r="X1009" s="50">
        <v>0.71501036135535367</v>
      </c>
      <c r="Y1009" s="50">
        <v>0.98984704922675859</v>
      </c>
      <c r="Z1009" s="50">
        <v>0.98984704922675859</v>
      </c>
    </row>
    <row r="1010" spans="19:26">
      <c r="S1010" s="50">
        <v>0.94309425822250581</v>
      </c>
      <c r="T1010" s="50">
        <v>0.92529739274202061</v>
      </c>
      <c r="U1010" s="50">
        <v>1.0121238942226596</v>
      </c>
      <c r="V1010" s="50">
        <v>0.99058864941574976</v>
      </c>
      <c r="W1010" s="50">
        <v>0.78155865097103061</v>
      </c>
      <c r="X1010" s="50">
        <v>0.78155865097103061</v>
      </c>
      <c r="Y1010" s="50">
        <v>0.9454229896564792</v>
      </c>
      <c r="Z1010" s="50">
        <v>0.9454229896564792</v>
      </c>
    </row>
    <row r="1011" spans="19:26">
      <c r="S1011" s="50">
        <v>0.96383253024283</v>
      </c>
      <c r="T1011" s="50">
        <v>0.95219756973190339</v>
      </c>
      <c r="U1011" s="50">
        <v>0.8513421168101637</v>
      </c>
      <c r="V1011" s="50">
        <v>0.8662864072105122</v>
      </c>
      <c r="W1011" s="50">
        <v>0.81718945683392541</v>
      </c>
      <c r="X1011" s="50">
        <v>0.81718945683392541</v>
      </c>
      <c r="Y1011" s="50">
        <v>0.99841252083283893</v>
      </c>
      <c r="Z1011" s="50">
        <v>0.99841252083283893</v>
      </c>
    </row>
    <row r="1012" spans="19:26">
      <c r="S1012" s="50">
        <v>0.94025532812251056</v>
      </c>
      <c r="T1012" s="50">
        <v>0.92164331359716956</v>
      </c>
      <c r="U1012" s="50">
        <v>0.96054547648509514</v>
      </c>
      <c r="V1012" s="50">
        <v>1.0283336747499345</v>
      </c>
      <c r="W1012" s="50">
        <v>0.77701697196833086</v>
      </c>
      <c r="X1012" s="50">
        <v>0.77701697196833086</v>
      </c>
      <c r="Y1012" s="50">
        <v>0.94131341778762023</v>
      </c>
      <c r="Z1012" s="50">
        <v>0.94131341778762023</v>
      </c>
    </row>
    <row r="1013" spans="19:26">
      <c r="S1013" s="50">
        <v>0.96220745860769974</v>
      </c>
      <c r="T1013" s="50">
        <v>0.95008115970489049</v>
      </c>
      <c r="U1013" s="50">
        <v>1.0059583543486299</v>
      </c>
      <c r="V1013" s="50">
        <v>1.0403002531229508</v>
      </c>
      <c r="W1013" s="50">
        <v>0.85066239682278566</v>
      </c>
      <c r="X1013" s="50">
        <v>0.85066239682278566</v>
      </c>
      <c r="Y1013" s="50">
        <v>0.99070200241321138</v>
      </c>
      <c r="Z1013" s="50">
        <v>0.99070200241321138</v>
      </c>
    </row>
    <row r="1014" spans="19:26">
      <c r="S1014" s="50">
        <v>0.96239754978311709</v>
      </c>
      <c r="T1014" s="50">
        <v>0.95030715737600702</v>
      </c>
      <c r="U1014" s="50">
        <v>1.0080276383845255</v>
      </c>
      <c r="V1014" s="50">
        <v>0.99224750299649545</v>
      </c>
      <c r="W1014" s="50">
        <v>0.70850262916803064</v>
      </c>
      <c r="X1014" s="50">
        <v>0.70850262916803064</v>
      </c>
      <c r="Y1014" s="50">
        <v>0.99681072646881841</v>
      </c>
      <c r="Z1014" s="50">
        <v>0.99681072646881841</v>
      </c>
    </row>
    <row r="1015" spans="19:26">
      <c r="S1015" s="50">
        <v>0.95147405565427268</v>
      </c>
      <c r="T1015" s="50">
        <v>0.93612956529034297</v>
      </c>
      <c r="U1015" s="50">
        <v>0.96087644871998568</v>
      </c>
      <c r="V1015" s="50">
        <v>1.0097633865752846</v>
      </c>
      <c r="W1015" s="50">
        <v>0.8331213451020103</v>
      </c>
      <c r="X1015" s="50">
        <v>0.8331213451020103</v>
      </c>
      <c r="Y1015" s="50">
        <v>0.96002761075298226</v>
      </c>
      <c r="Z1015" s="50">
        <v>0.96002761075298226</v>
      </c>
    </row>
    <row r="1016" spans="19:26">
      <c r="S1016" s="50">
        <v>0.95795835851359901</v>
      </c>
      <c r="T1016" s="50">
        <v>0.94454615668508224</v>
      </c>
      <c r="U1016" s="50">
        <v>1.075772812009189</v>
      </c>
      <c r="V1016" s="50">
        <v>1.2319838574169246</v>
      </c>
      <c r="W1016" s="50">
        <v>0.8428146666160502</v>
      </c>
      <c r="X1016" s="50">
        <v>0.8428146666160502</v>
      </c>
      <c r="Y1016" s="50">
        <v>0.97644296104965767</v>
      </c>
      <c r="Z1016" s="50">
        <v>0.97644296104965767</v>
      </c>
    </row>
    <row r="1017" spans="19:26">
      <c r="S1017" s="50">
        <v>0.96147235637048145</v>
      </c>
      <c r="T1017" s="50">
        <v>0.94910065333953852</v>
      </c>
      <c r="U1017" s="50">
        <v>0.98490200178056786</v>
      </c>
      <c r="V1017" s="50">
        <v>0.97091041047530002</v>
      </c>
      <c r="W1017" s="50">
        <v>0.71072196810019606</v>
      </c>
      <c r="X1017" s="50">
        <v>0.71072196810019606</v>
      </c>
      <c r="Y1017" s="50">
        <v>0.99290073675030865</v>
      </c>
      <c r="Z1017" s="50">
        <v>0.99290073675030865</v>
      </c>
    </row>
    <row r="1018" spans="19:26">
      <c r="S1018" s="50">
        <v>0.96269027971688126</v>
      </c>
      <c r="T1018" s="50">
        <v>0.95069000189754183</v>
      </c>
      <c r="U1018" s="50">
        <v>1.0234077078626211</v>
      </c>
      <c r="V1018" s="50">
        <v>1.0664311965072788</v>
      </c>
      <c r="W1018" s="50">
        <v>0.71279903072240636</v>
      </c>
      <c r="X1018" s="50">
        <v>0.71279903072240636</v>
      </c>
      <c r="Y1018" s="50">
        <v>0.9978503232617717</v>
      </c>
      <c r="Z1018" s="50">
        <v>0.9978503232617717</v>
      </c>
    </row>
    <row r="1019" spans="19:26">
      <c r="S1019" s="50">
        <v>0.96419354682091474</v>
      </c>
      <c r="T1019" s="50">
        <v>0.95267172261127298</v>
      </c>
      <c r="U1019" s="50">
        <v>0.99329670579485396</v>
      </c>
      <c r="V1019" s="50">
        <v>1.0425807547687496</v>
      </c>
      <c r="W1019" s="50">
        <v>0.8386213971976999</v>
      </c>
      <c r="X1019" s="50">
        <v>0.8386213971976999</v>
      </c>
      <c r="Y1019" s="50">
        <v>0.99924239428414174</v>
      </c>
      <c r="Z1019" s="50">
        <v>0.99924239428414174</v>
      </c>
    </row>
    <row r="1020" spans="19:26">
      <c r="S1020" s="50">
        <v>0.96396335577423831</v>
      </c>
      <c r="T1020" s="50">
        <v>0.95236556568504238</v>
      </c>
      <c r="U1020" s="50">
        <v>0.91353055586186083</v>
      </c>
      <c r="V1020" s="50">
        <v>1.0588306007137964</v>
      </c>
      <c r="W1020" s="50">
        <v>0.79617524161794451</v>
      </c>
      <c r="X1020" s="50">
        <v>0.79617524161794451</v>
      </c>
      <c r="Y1020" s="50">
        <v>0.99976823969189899</v>
      </c>
      <c r="Z1020" s="50">
        <v>0.99976823969189899</v>
      </c>
    </row>
    <row r="1021" spans="19:26">
      <c r="S1021" s="50">
        <v>0.95270665497575724</v>
      </c>
      <c r="T1021" s="50">
        <v>0.93770971535807013</v>
      </c>
      <c r="U1021" s="50">
        <v>0.84156382259947982</v>
      </c>
      <c r="V1021" s="50">
        <v>1.02798789322022</v>
      </c>
      <c r="W1021" s="50">
        <v>0.74269037762194945</v>
      </c>
      <c r="X1021" s="50">
        <v>0.74269037762194945</v>
      </c>
      <c r="Y1021" s="50">
        <v>0.96469012183840686</v>
      </c>
      <c r="Z1021" s="50">
        <v>0.96469012183840686</v>
      </c>
    </row>
    <row r="1022" spans="19:26">
      <c r="S1022" s="50">
        <v>0.96337805636483642</v>
      </c>
      <c r="T1022" s="50">
        <v>0.9515931062185885</v>
      </c>
      <c r="U1022" s="50">
        <v>1.041026710817893</v>
      </c>
      <c r="V1022" s="50">
        <v>1.0743554012199705</v>
      </c>
      <c r="W1022" s="50">
        <v>0.74254977501683106</v>
      </c>
      <c r="X1022" s="50">
        <v>0.74254977501683106</v>
      </c>
      <c r="Y1022" s="50">
        <v>0.99943767565875441</v>
      </c>
      <c r="Z1022" s="50">
        <v>0.99943767565875441</v>
      </c>
    </row>
  </sheetData>
  <mergeCells count="63">
    <mergeCell ref="B48:P48"/>
    <mergeCell ref="B49:P49"/>
    <mergeCell ref="C22:C23"/>
    <mergeCell ref="E22:E23"/>
    <mergeCell ref="H35:J35"/>
    <mergeCell ref="L35:O35"/>
    <mergeCell ref="B47:P47"/>
    <mergeCell ref="K33:N33"/>
    <mergeCell ref="O25:P25"/>
    <mergeCell ref="B29:G29"/>
    <mergeCell ref="I29:N29"/>
    <mergeCell ref="P29:P30"/>
    <mergeCell ref="C30:G30"/>
    <mergeCell ref="J30:N30"/>
    <mergeCell ref="C31:G31"/>
    <mergeCell ref="K31:N31"/>
    <mergeCell ref="C32:G32"/>
    <mergeCell ref="K32:N32"/>
    <mergeCell ref="C33:G33"/>
    <mergeCell ref="I22:I23"/>
    <mergeCell ref="J22:J23"/>
    <mergeCell ref="L22:L23"/>
    <mergeCell ref="L20:L21"/>
    <mergeCell ref="N20:N21"/>
    <mergeCell ref="S20:T20"/>
    <mergeCell ref="U20:V20"/>
    <mergeCell ref="W20:Z20"/>
    <mergeCell ref="B22:B23"/>
    <mergeCell ref="O17:P17"/>
    <mergeCell ref="B18:B19"/>
    <mergeCell ref="C18:C19"/>
    <mergeCell ref="E18:E19"/>
    <mergeCell ref="G18:G19"/>
    <mergeCell ref="I18:I19"/>
    <mergeCell ref="J18:J19"/>
    <mergeCell ref="L18:L19"/>
    <mergeCell ref="N18:N19"/>
    <mergeCell ref="B20:B21"/>
    <mergeCell ref="C20:C21"/>
    <mergeCell ref="E20:E21"/>
    <mergeCell ref="G20:G21"/>
    <mergeCell ref="I20:I21"/>
    <mergeCell ref="J20:J21"/>
    <mergeCell ref="B15:G15"/>
    <mergeCell ref="I15:P15"/>
    <mergeCell ref="C16:F16"/>
    <mergeCell ref="J16:M16"/>
    <mergeCell ref="C17:D17"/>
    <mergeCell ref="E17:F17"/>
    <mergeCell ref="J17:K17"/>
    <mergeCell ref="L17:M17"/>
    <mergeCell ref="B6:G6"/>
    <mergeCell ref="K6:P6"/>
    <mergeCell ref="K7:P14"/>
    <mergeCell ref="S8:Z8"/>
    <mergeCell ref="B12:C12"/>
    <mergeCell ref="B13:G13"/>
    <mergeCell ref="P31:P33"/>
    <mergeCell ref="AC1:AG1"/>
    <mergeCell ref="N2:P2"/>
    <mergeCell ref="S2:AA2"/>
    <mergeCell ref="AI2:AM2"/>
    <mergeCell ref="S18:Z18"/>
  </mergeCells>
  <pageMargins left="0.75" right="0.75" top="1" bottom="1" header="0.5" footer="0.5"/>
  <pageSetup orientation="portrait" verticalDpi="12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1969" r:id="rId3" name="Button 1">
              <controlPr defaultSize="0" print="0" autoFill="0" autoPict="0" macro="[0]!ThisWorkbook.exp_misc">
                <anchor moveWithCells="1" sizeWithCells="1">
                  <from>
                    <xdr:col>11</xdr:col>
                    <xdr:colOff>317500</xdr:colOff>
                    <xdr:row>11</xdr:row>
                    <xdr:rowOff>177800</xdr:rowOff>
                  </from>
                  <to>
                    <xdr:col>14</xdr:col>
                    <xdr:colOff>393700</xdr:colOff>
                    <xdr:row>13</xdr:row>
                    <xdr:rowOff>139700</xdr:rowOff>
                  </to>
                </anchor>
              </controlPr>
            </control>
          </mc:Choice>
        </mc:AlternateContent>
        <mc:AlternateContent xmlns:mc="http://schemas.openxmlformats.org/markup-compatibility/2006">
          <mc:Choice Requires="x14">
            <control shapeId="211970" r:id="rId4" name="Drop Down 2">
              <controlPr defaultSize="0" autoLine="0" autoPict="0">
                <anchor moveWithCells="1">
                  <from>
                    <xdr:col>4</xdr:col>
                    <xdr:colOff>0</xdr:colOff>
                    <xdr:row>11</xdr:row>
                    <xdr:rowOff>12700</xdr:rowOff>
                  </from>
                  <to>
                    <xdr:col>5</xdr:col>
                    <xdr:colOff>19050</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BP53"/>
  <sheetViews>
    <sheetView zoomScale="80" zoomScaleNormal="80" workbookViewId="0">
      <selection activeCell="AS3" sqref="AS3:AS4"/>
    </sheetView>
  </sheetViews>
  <sheetFormatPr defaultColWidth="9.1796875" defaultRowHeight="12.5"/>
  <cols>
    <col min="1" max="1" width="2.81640625" style="2" customWidth="1"/>
    <col min="2" max="2" width="13.81640625" style="2" customWidth="1"/>
    <col min="3" max="3" width="8" style="2" customWidth="1"/>
    <col min="4" max="4" width="2.453125" style="2" customWidth="1"/>
    <col min="5" max="5" width="7.453125" style="2" customWidth="1"/>
    <col min="6" max="6" width="2.36328125" style="2" customWidth="1"/>
    <col min="7" max="7" width="7" style="2" customWidth="1"/>
    <col min="8" max="8" width="2.6328125" style="2" customWidth="1"/>
    <col min="9" max="9" width="8.81640625" style="2" customWidth="1"/>
    <col min="10" max="10" width="8.453125" style="2" customWidth="1"/>
    <col min="11" max="11" width="7.453125" style="2" bestFit="1" customWidth="1"/>
    <col min="12" max="12" width="7.81640625" style="2" customWidth="1"/>
    <col min="13" max="13" width="8.453125" style="2" customWidth="1"/>
    <col min="14" max="14" width="8.36328125" style="2" customWidth="1"/>
    <col min="15" max="15" width="6.453125" style="2" customWidth="1"/>
    <col min="16" max="16" width="15" style="2" customWidth="1"/>
    <col min="17" max="17" width="2.453125" style="2" customWidth="1"/>
    <col min="18" max="18" width="2.36328125" style="2" customWidth="1"/>
    <col min="19" max="19" width="6.36328125" style="50" customWidth="1"/>
    <col min="20" max="22" width="7.1796875" style="50" customWidth="1"/>
    <col min="23" max="23" width="6.81640625" style="50" bestFit="1" customWidth="1"/>
    <col min="24" max="24" width="6.36328125" style="50" bestFit="1" customWidth="1"/>
    <col min="25" max="25" width="7" style="50" bestFit="1" customWidth="1"/>
    <col min="26" max="26" width="6.453125" style="50" bestFit="1" customWidth="1"/>
    <col min="27" max="27" width="3.453125" style="2" customWidth="1"/>
    <col min="28" max="28" width="9.36328125" style="2" customWidth="1"/>
    <col min="29" max="29" width="7.1796875" style="2" customWidth="1"/>
    <col min="30" max="30" width="8.453125" style="2" customWidth="1"/>
    <col min="31" max="31" width="1.1796875" style="42" customWidth="1"/>
    <col min="32" max="32" width="1.453125" style="42" customWidth="1"/>
    <col min="33" max="33" width="6.453125" style="42" customWidth="1"/>
    <col min="34" max="34" width="6.1796875" style="42" customWidth="1"/>
    <col min="35" max="35" width="1.1796875" style="2" customWidth="1"/>
    <col min="36" max="36" width="11" style="2" customWidth="1"/>
    <col min="37" max="37" width="9.1796875" style="2"/>
    <col min="38" max="38" width="14" style="53" bestFit="1" customWidth="1"/>
    <col min="39" max="39" width="9.1796875" style="50"/>
    <col min="40" max="49" width="9.1796875" style="2"/>
    <col min="50" max="50" width="0" style="2" hidden="1" customWidth="1"/>
    <col min="51" max="51" width="12.81640625" style="2" hidden="1" customWidth="1"/>
    <col min="52" max="52" width="14.6328125" style="2" customWidth="1"/>
    <col min="53" max="54" width="0" style="2" hidden="1" customWidth="1"/>
    <col min="55" max="55" width="23.08984375" style="2" hidden="1" customWidth="1"/>
    <col min="56" max="16384" width="9.1796875" style="2"/>
  </cols>
  <sheetData>
    <row r="1" spans="2:68" ht="5.25" customHeight="1">
      <c r="AC1" s="269"/>
      <c r="AD1" s="269"/>
      <c r="AE1" s="269"/>
      <c r="AF1" s="269"/>
      <c r="AG1" s="269"/>
      <c r="AH1" s="269"/>
      <c r="AI1" s="269"/>
      <c r="AJ1" s="269"/>
    </row>
    <row r="2" spans="2:68" ht="29.5" thickBot="1">
      <c r="B2" s="72" t="s">
        <v>73</v>
      </c>
      <c r="C2" s="72"/>
      <c r="D2" s="72"/>
      <c r="E2" s="72"/>
      <c r="F2" s="72"/>
      <c r="G2" s="72"/>
      <c r="H2" s="72"/>
      <c r="I2" s="72"/>
      <c r="J2" s="72"/>
      <c r="K2" s="72"/>
      <c r="L2" s="72"/>
      <c r="M2" s="72"/>
      <c r="N2" s="72"/>
      <c r="O2" s="72"/>
      <c r="P2" s="73" t="s">
        <v>74</v>
      </c>
      <c r="Q2" s="1"/>
      <c r="R2" s="1"/>
      <c r="S2" s="271" t="s">
        <v>95</v>
      </c>
      <c r="T2" s="271"/>
      <c r="U2" s="271"/>
      <c r="V2" s="271"/>
      <c r="W2" s="271"/>
      <c r="X2" s="271"/>
      <c r="Y2" s="271"/>
      <c r="Z2" s="271"/>
      <c r="AA2" s="271"/>
      <c r="AB2" s="10"/>
      <c r="AC2" s="51" t="s">
        <v>41</v>
      </c>
      <c r="AD2" s="51" t="s">
        <v>42</v>
      </c>
      <c r="AE2" s="51"/>
      <c r="AF2" s="51"/>
      <c r="AG2" s="51" t="s">
        <v>43</v>
      </c>
      <c r="AH2" s="51" t="s">
        <v>45</v>
      </c>
      <c r="AJ2" s="51" t="s">
        <v>102</v>
      </c>
      <c r="AK2" s="51" t="s">
        <v>103</v>
      </c>
      <c r="AL2" s="271" t="s">
        <v>55</v>
      </c>
      <c r="AM2" s="271"/>
      <c r="AN2" s="271"/>
      <c r="AO2" s="271"/>
      <c r="AP2" s="271"/>
      <c r="AQ2" s="50"/>
      <c r="AT2" s="252" t="s">
        <v>191</v>
      </c>
      <c r="AU2" s="252" t="s">
        <v>192</v>
      </c>
      <c r="AV2" s="252" t="s">
        <v>193</v>
      </c>
      <c r="AW2" s="252" t="s">
        <v>194</v>
      </c>
      <c r="AX2" s="252" t="s">
        <v>195</v>
      </c>
      <c r="AY2" s="252" t="s">
        <v>196</v>
      </c>
      <c r="AZ2" s="252" t="s">
        <v>197</v>
      </c>
      <c r="BA2" s="252"/>
      <c r="BB2" s="252"/>
      <c r="BC2" s="252" t="s">
        <v>198</v>
      </c>
    </row>
    <row r="3" spans="2:68" ht="13.5" thickTop="1">
      <c r="B3" s="19"/>
      <c r="S3" s="50" t="s">
        <v>137</v>
      </c>
      <c r="V3" s="53">
        <f ca="1">IFERROR((J18/J22)/(L18/L22),"")</f>
        <v>1.4087947882736156</v>
      </c>
      <c r="W3" s="50" t="s">
        <v>138</v>
      </c>
      <c r="Z3" s="53">
        <f ca="1">IFERROR((J18/J20)/(L18/L20),"")</f>
        <v>1.9365671641791047</v>
      </c>
      <c r="AA3" s="50"/>
      <c r="AB3" s="50" t="str">
        <f>B8</f>
        <v>Se (Smoke+)</v>
      </c>
      <c r="AC3" s="52">
        <f ca="1">V11</f>
        <v>0.40974910020546618</v>
      </c>
      <c r="AD3" s="118">
        <f ca="1">AG3</f>
        <v>0.95048892317593781</v>
      </c>
      <c r="AE3" s="118"/>
      <c r="AF3" s="118"/>
      <c r="AG3" s="53">
        <f ca="1">BETAINV(AC3,AJ3,AK3)</f>
        <v>0.95048892317593781</v>
      </c>
      <c r="AH3" s="74">
        <f ca="1">AD3</f>
        <v>0.95048892317593781</v>
      </c>
      <c r="AJ3" s="121">
        <f>C8</f>
        <v>100</v>
      </c>
      <c r="AK3" s="121">
        <f>E8</f>
        <v>5</v>
      </c>
      <c r="AL3" s="51" t="s">
        <v>54</v>
      </c>
      <c r="AM3" s="51" t="str">
        <f>W21</f>
        <v>Se(D+)</v>
      </c>
      <c r="AN3" s="51" t="str">
        <f>X21</f>
        <v>Se(D-)</v>
      </c>
      <c r="AO3" s="51" t="str">
        <f>Y21</f>
        <v>Sp(D+)</v>
      </c>
      <c r="AP3" s="51" t="str">
        <f>Z21</f>
        <v>Sp(D-)</v>
      </c>
      <c r="AQ3" s="50"/>
      <c r="AS3" s="20" t="s">
        <v>202</v>
      </c>
      <c r="AT3" s="251" t="s">
        <v>199</v>
      </c>
      <c r="AU3" s="251">
        <f>IF((C18/C22)/(E18/E22)&gt;0,(C18/C22)/(E18/E22),"")</f>
        <v>1.1841364831668597</v>
      </c>
      <c r="AV3" s="251">
        <f>IF(AU3&gt;0,AU3-EXP(LN((C18/C22)/(E18/E22))-1.96*V4),"")</f>
        <v>0.12777103309908111</v>
      </c>
      <c r="AW3" s="251">
        <f>IF(AU3&gt;0,EXP(LN((C18/C22)/(E18/E22))+1.96*V4)-AU3,"")</f>
        <v>0.14322537884482567</v>
      </c>
      <c r="AX3" s="251"/>
      <c r="AY3" s="251"/>
      <c r="AZ3" s="251">
        <v>2.5</v>
      </c>
      <c r="BA3" s="251"/>
      <c r="BB3" s="251"/>
      <c r="BC3" s="251">
        <f>MIN($F$3:$F$17)</f>
        <v>0</v>
      </c>
    </row>
    <row r="4" spans="2:68">
      <c r="S4" s="50" t="s">
        <v>3</v>
      </c>
      <c r="V4" s="50">
        <f>IFERROR(SQRT(1/C18-1/C22+1/E18-1/E22),"")</f>
        <v>5.8254901636647302E-2</v>
      </c>
      <c r="W4" s="50" t="s">
        <v>2</v>
      </c>
      <c r="Z4" s="50">
        <f>IFERROR(SQRT(1/C18+1/C20+1/E18+1/E20),"")</f>
        <v>0.12811111810464548</v>
      </c>
      <c r="AA4" s="50"/>
      <c r="AB4" s="50" t="str">
        <f>B9</f>
        <v>Se (Smoke-)</v>
      </c>
      <c r="AC4" s="52">
        <f ca="1">V12</f>
        <v>0.77839449613533684</v>
      </c>
      <c r="AD4" s="117">
        <f ca="1">AG4</f>
        <v>0.93670688354783405</v>
      </c>
      <c r="AE4" s="117"/>
      <c r="AF4" s="117"/>
      <c r="AG4" s="53">
        <f ca="1">BETAINV(AC4,AJ4,AK4)</f>
        <v>0.93670688354783405</v>
      </c>
      <c r="AH4" s="74">
        <f ca="1">IF(E12=1,AD3,AD4)</f>
        <v>0.93670688354783405</v>
      </c>
      <c r="AJ4" s="121">
        <f>C9</f>
        <v>110</v>
      </c>
      <c r="AK4" s="121">
        <f>E9</f>
        <v>10</v>
      </c>
      <c r="AL4" s="53">
        <v>0</v>
      </c>
      <c r="AM4" s="50">
        <f t="array" aca="1" ref="AM4:AM53" ca="1">FREQUENCY(W4:W10000,AL4:AL53)</f>
        <v>0</v>
      </c>
      <c r="AN4" s="50">
        <f t="array" aca="1" ref="AN4:AN53" ca="1">FREQUENCY(X4:X10000,AL4:AL53)</f>
        <v>0</v>
      </c>
      <c r="AO4" s="50">
        <f t="array" aca="1" ref="AO4:AO53" ca="1">FREQUENCY(Y4:Y10000,AL4:AL53)</f>
        <v>0</v>
      </c>
      <c r="AP4" s="50">
        <f t="array" aca="1" ref="AP4:AP53" ca="1">FREQUENCY(Z4:Z10000,AL4:AL53)</f>
        <v>0</v>
      </c>
      <c r="AS4" s="20" t="s">
        <v>203</v>
      </c>
      <c r="AT4" s="251" t="s">
        <v>200</v>
      </c>
      <c r="AU4" s="251" t="str">
        <f>IF(S23&lt;&gt;"",PERCENTILE(S23:S50014,0.5),"")</f>
        <v/>
      </c>
      <c r="AV4" s="251" t="str">
        <f>IF(S23&lt;&gt;"",AU4-PERCENTILE(S23:S50014,0.025),"")</f>
        <v/>
      </c>
      <c r="AW4" s="251" t="str">
        <f>IF(S23&lt;&gt;"",PERCENTILE(S23:S50014,0.975)-AU4,"")</f>
        <v/>
      </c>
      <c r="AX4" s="251"/>
      <c r="AY4" s="251"/>
      <c r="AZ4" s="251">
        <v>1.5</v>
      </c>
      <c r="BA4" s="251"/>
      <c r="BB4" s="251"/>
      <c r="BC4" s="251">
        <f>MIN($F$3:$F$17)</f>
        <v>0</v>
      </c>
      <c r="BP4" s="2" t="s">
        <v>100</v>
      </c>
    </row>
    <row r="5" spans="2:68">
      <c r="S5" s="50" t="s">
        <v>139</v>
      </c>
      <c r="V5" s="50">
        <f ca="1">IFERROR(SQRT(1/J18-1/J22+1/L18-1/L22),"")</f>
        <v>6.0899824150562026E-2</v>
      </c>
      <c r="W5" s="50" t="s">
        <v>140</v>
      </c>
      <c r="Z5" s="50">
        <f ca="1">IFERROR(SQRT(1/J18+1/L18+1/J20+1/L20),"")</f>
        <v>0.12859564934167547</v>
      </c>
      <c r="AA5" s="50"/>
      <c r="AB5" s="50" t="str">
        <f>B10</f>
        <v>Sp (Smoke+)</v>
      </c>
      <c r="AC5" s="52">
        <f ca="1">Z11</f>
        <v>0.59854489556798196</v>
      </c>
      <c r="AD5" s="117">
        <f ca="1">AG5</f>
        <v>0.89739172970221504</v>
      </c>
      <c r="AE5" s="117"/>
      <c r="AF5" s="117"/>
      <c r="AG5" s="53">
        <f ca="1">BETAINV(AC5,AJ5,AK5)</f>
        <v>0.89739172970221504</v>
      </c>
      <c r="AH5" s="74">
        <f ca="1">AD5</f>
        <v>0.89739172970221504</v>
      </c>
      <c r="AJ5" s="121">
        <f>C10</f>
        <v>120</v>
      </c>
      <c r="AK5" s="121">
        <f>E10</f>
        <v>15</v>
      </c>
      <c r="AL5" s="53">
        <f t="shared" ref="AL5:AL36" si="0">AL4+0.02</f>
        <v>0.02</v>
      </c>
      <c r="AM5" s="50">
        <f ca="1"/>
        <v>0</v>
      </c>
      <c r="AN5" s="50">
        <f ca="1"/>
        <v>0</v>
      </c>
      <c r="AO5" s="50">
        <f ca="1"/>
        <v>0</v>
      </c>
      <c r="AP5" s="50">
        <f ca="1"/>
        <v>0</v>
      </c>
      <c r="AT5" s="251" t="s">
        <v>67</v>
      </c>
      <c r="AU5" s="251" t="str">
        <f>IF(S23&lt;&gt;"",PERCENTILE(U23:U50014,0.5),"")</f>
        <v/>
      </c>
      <c r="AV5" s="251" t="str">
        <f>IF(S23&lt;&gt;"",AU5-PERCENTILE(U23:U50014,0.025),"")</f>
        <v/>
      </c>
      <c r="AW5" s="251" t="str">
        <f>IF(S23&lt;&gt;"",PERCENTILE(U23:U50014,0.975)-AU5,"")</f>
        <v/>
      </c>
      <c r="AX5" s="251"/>
      <c r="AY5" s="251"/>
      <c r="AZ5" s="251">
        <v>0.5</v>
      </c>
      <c r="BA5" s="251"/>
      <c r="BB5" s="251"/>
      <c r="BC5" s="251">
        <f>MIN($F$3:$F$17)</f>
        <v>0</v>
      </c>
      <c r="BP5" s="2" t="s">
        <v>101</v>
      </c>
    </row>
    <row r="6" spans="2:68" ht="12.75" customHeight="1">
      <c r="B6" s="272" t="s">
        <v>7</v>
      </c>
      <c r="C6" s="272"/>
      <c r="D6" s="272"/>
      <c r="E6" s="272"/>
      <c r="F6" s="272"/>
      <c r="G6" s="272"/>
      <c r="H6" s="21"/>
      <c r="I6" s="21"/>
      <c r="K6" s="273" t="s">
        <v>5</v>
      </c>
      <c r="L6" s="273"/>
      <c r="M6" s="273"/>
      <c r="N6" s="273"/>
      <c r="O6" s="273"/>
      <c r="P6" s="273"/>
      <c r="Q6" s="1"/>
      <c r="R6" s="1"/>
      <c r="S6" s="50" t="s">
        <v>93</v>
      </c>
      <c r="V6" s="74">
        <f ca="1">IFERROR(EXP(LN(V3)-V5*NORMINV(RAND(),0,1)),"")</f>
        <v>1.3083868569455757</v>
      </c>
      <c r="W6" s="50" t="s">
        <v>94</v>
      </c>
      <c r="Z6" s="50">
        <f ca="1">IFERROR(EXP(LN(Z3)-Z5*NORMINV(RAND(),0,1)),"")</f>
        <v>2.0814824304033595</v>
      </c>
      <c r="AB6" s="50" t="str">
        <f>B11</f>
        <v>Sp (Smoke-)</v>
      </c>
      <c r="AC6" s="52">
        <f ca="1">Z12</f>
        <v>0.76118798720386893</v>
      </c>
      <c r="AD6" s="117">
        <f ca="1">AG6</f>
        <v>0.83500856155488001</v>
      </c>
      <c r="AE6" s="117"/>
      <c r="AF6" s="117"/>
      <c r="AG6" s="53">
        <f ca="1">BETAINV(AC6,AJ6,AK6)</f>
        <v>0.83500856155488001</v>
      </c>
      <c r="AH6" s="74">
        <f ca="1">IF(E12=1,AD5,AD6)</f>
        <v>0.83500856155488001</v>
      </c>
      <c r="AJ6" s="121">
        <f>C11</f>
        <v>130</v>
      </c>
      <c r="AK6" s="121">
        <f>E11</f>
        <v>30</v>
      </c>
      <c r="AL6" s="53">
        <f t="shared" si="0"/>
        <v>0.04</v>
      </c>
      <c r="AM6" s="50">
        <f ca="1"/>
        <v>0</v>
      </c>
      <c r="AN6" s="50">
        <f ca="1"/>
        <v>0</v>
      </c>
      <c r="AO6" s="50">
        <f ca="1"/>
        <v>0</v>
      </c>
      <c r="AP6" s="50">
        <f ca="1"/>
        <v>0</v>
      </c>
    </row>
    <row r="7" spans="2:68" ht="15.75" customHeight="1">
      <c r="C7" s="9" t="s">
        <v>104</v>
      </c>
      <c r="D7" s="61"/>
      <c r="E7" s="9" t="s">
        <v>101</v>
      </c>
      <c r="F7" s="1"/>
      <c r="G7" s="113" t="s">
        <v>105</v>
      </c>
      <c r="H7" s="22"/>
      <c r="I7" s="71"/>
      <c r="K7" s="274"/>
      <c r="L7" s="274"/>
      <c r="M7" s="274"/>
      <c r="N7" s="274"/>
      <c r="O7" s="274"/>
      <c r="P7" s="274"/>
      <c r="Q7" s="22"/>
      <c r="R7" s="22"/>
      <c r="S7" s="50" t="s">
        <v>136</v>
      </c>
      <c r="V7" s="50" t="b">
        <f ca="1">OR(AJ18&lt;=0,AJ20&lt;=0,AJ19&lt;=0,AJ21&lt;=0)</f>
        <v>0</v>
      </c>
      <c r="AE7" s="2"/>
      <c r="AF7" s="2"/>
      <c r="AG7" s="2"/>
      <c r="AI7" s="42"/>
      <c r="AJ7" s="42"/>
      <c r="AL7" s="53">
        <f t="shared" si="0"/>
        <v>0.06</v>
      </c>
      <c r="AM7" s="50">
        <f ca="1"/>
        <v>0</v>
      </c>
      <c r="AN7" s="50">
        <f ca="1"/>
        <v>0</v>
      </c>
      <c r="AO7" s="50">
        <f ca="1"/>
        <v>0</v>
      </c>
      <c r="AP7" s="50">
        <f ca="1"/>
        <v>0</v>
      </c>
    </row>
    <row r="8" spans="2:68" ht="15" customHeight="1">
      <c r="B8" s="24" t="str">
        <f>CONCATENATE("Se (",IF(C14="","E+",CONCATENATE(C14,"+")),")")</f>
        <v>Se (Smoke+)</v>
      </c>
      <c r="C8" s="47">
        <v>100</v>
      </c>
      <c r="E8" s="47">
        <v>5</v>
      </c>
      <c r="G8" s="115">
        <f>(C8)/(C8+E8)</f>
        <v>0.95238095238095233</v>
      </c>
      <c r="I8" s="124" t="s">
        <v>82</v>
      </c>
      <c r="J8" s="123" t="str">
        <f ca="1">IF(OR(J18&lt;1,J20&lt;1,L18&lt;1,L20&lt;1),"Error","No error")</f>
        <v>No error</v>
      </c>
      <c r="K8" s="275"/>
      <c r="L8" s="275"/>
      <c r="M8" s="275"/>
      <c r="N8" s="275"/>
      <c r="O8" s="275"/>
      <c r="P8" s="275"/>
      <c r="Q8" s="22"/>
      <c r="R8" s="22"/>
      <c r="S8" s="271" t="s">
        <v>97</v>
      </c>
      <c r="T8" s="271"/>
      <c r="U8" s="271"/>
      <c r="V8" s="271"/>
      <c r="W8" s="271"/>
      <c r="X8" s="271"/>
      <c r="Y8" s="271"/>
      <c r="Z8" s="271"/>
      <c r="AE8" s="107"/>
      <c r="AF8" s="50"/>
      <c r="AG8" s="50"/>
      <c r="AL8" s="53">
        <f t="shared" si="0"/>
        <v>0.08</v>
      </c>
      <c r="AM8" s="50">
        <f ca="1"/>
        <v>0</v>
      </c>
      <c r="AN8" s="50">
        <f ca="1"/>
        <v>0</v>
      </c>
      <c r="AO8" s="50">
        <f ca="1"/>
        <v>0</v>
      </c>
      <c r="AP8" s="50">
        <f ca="1"/>
        <v>0</v>
      </c>
      <c r="AT8" s="252" t="s">
        <v>191</v>
      </c>
      <c r="AU8" s="252" t="s">
        <v>192</v>
      </c>
      <c r="AV8" s="252" t="s">
        <v>193</v>
      </c>
      <c r="AW8" s="252" t="s">
        <v>194</v>
      </c>
      <c r="AX8" s="252" t="s">
        <v>195</v>
      </c>
      <c r="AY8" s="252" t="s">
        <v>196</v>
      </c>
      <c r="AZ8" s="252" t="s">
        <v>197</v>
      </c>
      <c r="BA8" s="252"/>
      <c r="BB8" s="252"/>
      <c r="BC8" s="252" t="s">
        <v>198</v>
      </c>
    </row>
    <row r="9" spans="2:68" ht="13">
      <c r="B9" s="24" t="str">
        <f>CONCATENATE("Se (",IF(C14="","E-",CONCATENATE(C14,"-")),")")</f>
        <v>Se (Smoke-)</v>
      </c>
      <c r="C9" s="26">
        <v>110</v>
      </c>
      <c r="E9" s="26">
        <v>10</v>
      </c>
      <c r="G9" s="115">
        <f t="shared" ref="G9:G11" si="1">(C9)/(C9+E9)</f>
        <v>0.91666666666666663</v>
      </c>
      <c r="I9" s="115"/>
      <c r="J9" s="114"/>
      <c r="K9" s="275"/>
      <c r="L9" s="275"/>
      <c r="M9" s="275"/>
      <c r="N9" s="275"/>
      <c r="O9" s="275"/>
      <c r="P9" s="275"/>
      <c r="S9" s="50" t="s">
        <v>131</v>
      </c>
      <c r="V9" s="50">
        <f ca="1">NORMINV(RAND(),0,1)</f>
        <v>-0.22819043069546105</v>
      </c>
      <c r="W9" s="50" t="s">
        <v>131</v>
      </c>
      <c r="Z9" s="50">
        <f ca="1">NORMINV(RAND(),0,1)</f>
        <v>0.24958253166276867</v>
      </c>
      <c r="AE9" s="20"/>
      <c r="AF9" s="20"/>
      <c r="AG9" s="50" t="s">
        <v>180</v>
      </c>
      <c r="AI9" s="50"/>
      <c r="AJ9" s="50">
        <f ca="1">IFERROR(J18/J22,"")</f>
        <v>0.56351791530944628</v>
      </c>
      <c r="AL9" s="53">
        <f t="shared" si="0"/>
        <v>0.1</v>
      </c>
      <c r="AM9" s="50">
        <f ca="1"/>
        <v>0</v>
      </c>
      <c r="AN9" s="50">
        <f ca="1"/>
        <v>0</v>
      </c>
      <c r="AO9" s="50">
        <f ca="1"/>
        <v>0</v>
      </c>
      <c r="AP9" s="50">
        <f ca="1"/>
        <v>0</v>
      </c>
      <c r="AT9" s="251" t="s">
        <v>199</v>
      </c>
      <c r="AU9" s="251">
        <f>IF((C18/C20)/(E18/E20)&gt;0,(C18/C20)/(E18/E20),"")</f>
        <v>1.4218649278524322</v>
      </c>
      <c r="AV9" s="251">
        <f>IF(AU9&lt;&gt;"",AU9-EXP(LN((C18/C20)/(E18/E20))-1.96*Z4),"")</f>
        <v>0.31573038047754243</v>
      </c>
      <c r="AW9" s="251">
        <f>IF(AU9&lt;&gt;"",EXP(LN((C18/C20)/(E18/E20))+1.96*Z4)-AU9,"")</f>
        <v>0.40585112880157803</v>
      </c>
      <c r="AX9" s="251"/>
      <c r="AY9" s="251"/>
      <c r="AZ9" s="251">
        <v>2.5</v>
      </c>
      <c r="BA9" s="251"/>
      <c r="BB9" s="251"/>
      <c r="BC9" s="251">
        <f>MIN($F$3:$F$17)</f>
        <v>0</v>
      </c>
    </row>
    <row r="10" spans="2:68" ht="13">
      <c r="B10" s="24" t="str">
        <f>CONCATENATE("Sp (",IF(C14="","E+",CONCATENATE(C14,"+")),")")</f>
        <v>Sp (Smoke+)</v>
      </c>
      <c r="C10" s="26">
        <v>120</v>
      </c>
      <c r="E10" s="26">
        <v>15</v>
      </c>
      <c r="G10" s="115">
        <f t="shared" si="1"/>
        <v>0.88888888888888884</v>
      </c>
      <c r="I10" s="125" t="s">
        <v>106</v>
      </c>
      <c r="J10" s="47">
        <v>0.8</v>
      </c>
      <c r="K10" s="275"/>
      <c r="L10" s="275"/>
      <c r="M10" s="275"/>
      <c r="N10" s="275"/>
      <c r="O10" s="275"/>
      <c r="P10" s="275"/>
      <c r="S10" s="50" t="s">
        <v>132</v>
      </c>
      <c r="T10" s="127"/>
      <c r="V10" s="50">
        <f ca="1">IF(J10&lt;1,NORMINV(RAND(),$J$10*V9,SQRT(1-J10^2)),V9)</f>
        <v>0.76678222269342367</v>
      </c>
      <c r="W10" s="50" t="s">
        <v>132</v>
      </c>
      <c r="X10" s="127"/>
      <c r="Z10" s="50">
        <f ca="1">IF(J10&lt;1,NORMINV(RAND(),$J$10*Z9,SQRT(1-J10^2)),Z9)</f>
        <v>0.71012919142827624</v>
      </c>
      <c r="AE10" s="20"/>
      <c r="AF10" s="20"/>
      <c r="AG10" s="50" t="s">
        <v>181</v>
      </c>
      <c r="AI10" s="50"/>
      <c r="AJ10" s="50">
        <f ca="1">IFERROR(L18/L22,"")</f>
        <v>0.4</v>
      </c>
      <c r="AL10" s="53">
        <f t="shared" si="0"/>
        <v>0.12000000000000001</v>
      </c>
      <c r="AM10" s="50">
        <f ca="1"/>
        <v>0</v>
      </c>
      <c r="AN10" s="50">
        <f ca="1"/>
        <v>0</v>
      </c>
      <c r="AO10" s="50">
        <f ca="1"/>
        <v>0</v>
      </c>
      <c r="AP10" s="50">
        <f ca="1"/>
        <v>0</v>
      </c>
      <c r="AT10" s="251" t="s">
        <v>200</v>
      </c>
      <c r="AU10" s="251" t="str">
        <f>IF(T23&lt;&gt;"",PERCENTILE(T23:T50014,0.5),"")</f>
        <v/>
      </c>
      <c r="AV10" s="251" t="str">
        <f>IF(T23&lt;&gt;"",AU10-PERCENTILE(T23:T50014,0.025),"")</f>
        <v/>
      </c>
      <c r="AW10" s="251" t="str">
        <f>IF(T23&lt;&gt;"",PERCENTILE(T23:T50014,0.975)-AU10,"")</f>
        <v/>
      </c>
      <c r="AX10" s="251"/>
      <c r="AY10" s="251"/>
      <c r="AZ10" s="251">
        <v>1.5</v>
      </c>
      <c r="BA10" s="251"/>
      <c r="BB10" s="251"/>
      <c r="BC10" s="251">
        <f>MIN($F$3:$F$17)</f>
        <v>0</v>
      </c>
    </row>
    <row r="11" spans="2:68" ht="13">
      <c r="B11" s="24" t="str">
        <f>CONCATENATE("Sp (",IF(C14="","E-",CONCATENATE(C14,"-")),")")</f>
        <v>Sp (Smoke-)</v>
      </c>
      <c r="C11" s="26">
        <v>130</v>
      </c>
      <c r="E11" s="26">
        <v>30</v>
      </c>
      <c r="G11" s="115">
        <f t="shared" si="1"/>
        <v>0.8125</v>
      </c>
      <c r="I11" s="115"/>
      <c r="J11" s="115"/>
      <c r="K11" s="275"/>
      <c r="L11" s="275"/>
      <c r="M11" s="275"/>
      <c r="N11" s="275"/>
      <c r="O11" s="275"/>
      <c r="P11" s="275"/>
      <c r="S11" s="50" t="s">
        <v>133</v>
      </c>
      <c r="T11" s="127"/>
      <c r="V11" s="50">
        <f ca="1">_xlfn.NORM.DIST(V9,0,1,TRUE)</f>
        <v>0.40974910020546618</v>
      </c>
      <c r="W11" s="50" t="s">
        <v>133</v>
      </c>
      <c r="X11" s="127"/>
      <c r="Z11" s="50">
        <f ca="1">_xlfn.NORM.DIST(Z9,0,1,TRUE)</f>
        <v>0.59854489556798196</v>
      </c>
      <c r="AB11" s="113"/>
      <c r="AC11" s="136"/>
      <c r="AD11" s="136"/>
      <c r="AE11" s="20"/>
      <c r="AF11" s="20"/>
      <c r="AG11" s="50" t="s">
        <v>126</v>
      </c>
      <c r="AH11" s="50"/>
      <c r="AI11" s="127"/>
      <c r="AJ11" s="50">
        <f ca="1">IFERROR(_xlfn.BETA.INV(RAND(),AJ18,AJ20),"")</f>
        <v>0.54071227427525403</v>
      </c>
      <c r="AL11" s="53">
        <f t="shared" si="0"/>
        <v>0.14000000000000001</v>
      </c>
      <c r="AM11" s="50">
        <f ca="1"/>
        <v>0</v>
      </c>
      <c r="AN11" s="50">
        <f ca="1"/>
        <v>0</v>
      </c>
      <c r="AO11" s="50">
        <f ca="1"/>
        <v>0</v>
      </c>
      <c r="AP11" s="50">
        <f ca="1"/>
        <v>2</v>
      </c>
      <c r="AT11" s="251" t="s">
        <v>67</v>
      </c>
      <c r="AU11" s="251" t="str">
        <f>IF(V23&lt;&gt;"",PERCENTILE(V23:V50014,0.5),"")</f>
        <v/>
      </c>
      <c r="AV11" s="251" t="str">
        <f>IF(V23&lt;&gt;"",AU11-PERCENTILE(V24:V50015,0.025),"")</f>
        <v/>
      </c>
      <c r="AW11" s="251" t="str">
        <f>IF(V23&lt;&gt;"",PERCENTILE(V23:V50014,0.975)-AU11,"")</f>
        <v/>
      </c>
      <c r="AX11" s="251"/>
      <c r="AY11" s="251"/>
      <c r="AZ11" s="251">
        <v>0.5</v>
      </c>
      <c r="BA11" s="251"/>
      <c r="BB11" s="251"/>
      <c r="BC11" s="251">
        <f>MIN($F$3:$F$17)</f>
        <v>0</v>
      </c>
    </row>
    <row r="12" spans="2:68" ht="18" customHeight="1">
      <c r="B12" s="277" t="s">
        <v>44</v>
      </c>
      <c r="C12" s="277"/>
      <c r="D12" s="27"/>
      <c r="E12" s="26">
        <v>2</v>
      </c>
      <c r="F12" s="1"/>
      <c r="G12" s="1" t="s">
        <v>46</v>
      </c>
      <c r="H12" s="55"/>
      <c r="I12" s="54">
        <v>5</v>
      </c>
      <c r="J12" s="22"/>
      <c r="K12" s="275"/>
      <c r="L12" s="275"/>
      <c r="M12" s="275"/>
      <c r="N12" s="275"/>
      <c r="O12" s="275"/>
      <c r="P12" s="275"/>
      <c r="S12" s="50" t="s">
        <v>134</v>
      </c>
      <c r="T12" s="127"/>
      <c r="V12" s="50">
        <f ca="1">_xlfn.NORM.DIST(V10,0,1,TRUE)</f>
        <v>0.77839449613533684</v>
      </c>
      <c r="W12" s="50" t="s">
        <v>134</v>
      </c>
      <c r="X12" s="127"/>
      <c r="Z12" s="50">
        <f ca="1">_xlfn.NORM.DIST(Z10,0,1,TRUE)</f>
        <v>0.76118798720386893</v>
      </c>
      <c r="AB12" s="136"/>
      <c r="AC12" s="136"/>
      <c r="AD12" s="136"/>
      <c r="AE12" s="20"/>
      <c r="AF12" s="20"/>
      <c r="AG12" s="50" t="s">
        <v>127</v>
      </c>
      <c r="AH12" s="50"/>
      <c r="AI12" s="127"/>
      <c r="AJ12" s="50">
        <f ca="1">IFERROR(_xlfn.BETA.INV(RAND(),AJ19,AJ21),"")</f>
        <v>0.41414912138669846</v>
      </c>
      <c r="AL12" s="53">
        <f t="shared" si="0"/>
        <v>0.16</v>
      </c>
      <c r="AM12" s="50">
        <f ca="1"/>
        <v>0</v>
      </c>
      <c r="AN12" s="50">
        <f ca="1"/>
        <v>0</v>
      </c>
      <c r="AO12" s="50">
        <f ca="1"/>
        <v>0</v>
      </c>
      <c r="AP12" s="50">
        <f ca="1"/>
        <v>0</v>
      </c>
    </row>
    <row r="13" spans="2:68" ht="13">
      <c r="B13" s="278" t="s">
        <v>33</v>
      </c>
      <c r="C13" s="278"/>
      <c r="D13" s="278"/>
      <c r="E13" s="278"/>
      <c r="F13" s="278"/>
      <c r="G13" s="278"/>
      <c r="I13" s="22"/>
      <c r="J13" s="22"/>
      <c r="K13" s="275"/>
      <c r="L13" s="275"/>
      <c r="M13" s="275"/>
      <c r="N13" s="275"/>
      <c r="O13" s="275"/>
      <c r="P13" s="275"/>
      <c r="S13" s="9" t="s">
        <v>114</v>
      </c>
      <c r="T13" s="138"/>
      <c r="U13" s="68"/>
      <c r="V13" s="68"/>
      <c r="W13" s="68"/>
      <c r="X13" s="138"/>
      <c r="Y13" s="68"/>
      <c r="Z13" s="68"/>
      <c r="AB13" s="135"/>
      <c r="AC13" s="136"/>
      <c r="AD13" s="113"/>
      <c r="AE13" s="20"/>
      <c r="AF13" s="20"/>
      <c r="AG13" s="50" t="s">
        <v>183</v>
      </c>
      <c r="AH13" s="50"/>
      <c r="AI13" s="127"/>
      <c r="AJ13" s="50">
        <f ca="1">IFERROR((P18*AJ11)/(P18*AJ11+((1-P20)*(1-AJ11))),"")</f>
        <v>0.91600529632023731</v>
      </c>
      <c r="AL13" s="53">
        <f t="shared" si="0"/>
        <v>0.18</v>
      </c>
      <c r="AM13" s="50">
        <f ca="1"/>
        <v>0</v>
      </c>
      <c r="AN13" s="50">
        <f ca="1"/>
        <v>0</v>
      </c>
      <c r="AO13" s="50">
        <f ca="1"/>
        <v>0</v>
      </c>
      <c r="AP13" s="50">
        <f ca="1"/>
        <v>0</v>
      </c>
    </row>
    <row r="14" spans="2:68" ht="13">
      <c r="B14" s="1" t="s">
        <v>10</v>
      </c>
      <c r="C14" s="49" t="s">
        <v>77</v>
      </c>
      <c r="D14" s="1" t="s">
        <v>11</v>
      </c>
      <c r="G14" s="25" t="s">
        <v>76</v>
      </c>
      <c r="H14" s="33"/>
      <c r="I14" s="48"/>
      <c r="J14" s="48"/>
      <c r="K14" s="276"/>
      <c r="L14" s="276"/>
      <c r="M14" s="276"/>
      <c r="N14" s="276"/>
      <c r="O14" s="276"/>
      <c r="P14" s="276"/>
      <c r="S14" s="82" t="s">
        <v>115</v>
      </c>
      <c r="U14" s="127"/>
      <c r="V14" s="139">
        <f>C18/C22</f>
        <v>0.56351791530944628</v>
      </c>
      <c r="W14" s="82" t="s">
        <v>117</v>
      </c>
      <c r="Y14" s="127"/>
      <c r="Z14" s="139">
        <f>1-V14</f>
        <v>0.43648208469055372</v>
      </c>
      <c r="AB14" s="135"/>
      <c r="AC14" s="136"/>
      <c r="AD14" s="113"/>
      <c r="AE14" s="20"/>
      <c r="AF14" s="20"/>
      <c r="AG14" s="50" t="s">
        <v>184</v>
      </c>
      <c r="AH14" s="50"/>
      <c r="AI14" s="127"/>
      <c r="AJ14" s="50">
        <f ca="1">IFERROR((P19*AJ12)/(P19*AJ12+((1-P21)*(1-AJ12))),"")</f>
        <v>0.80053438914428188</v>
      </c>
      <c r="AL14" s="53">
        <f t="shared" si="0"/>
        <v>0.19999999999999998</v>
      </c>
      <c r="AM14" s="50">
        <f ca="1"/>
        <v>0</v>
      </c>
      <c r="AN14" s="50">
        <f ca="1"/>
        <v>0</v>
      </c>
      <c r="AO14" s="50">
        <f ca="1"/>
        <v>0</v>
      </c>
      <c r="AP14" s="50">
        <f ca="1"/>
        <v>0</v>
      </c>
    </row>
    <row r="15" spans="2:68" ht="13">
      <c r="B15" s="279" t="str">
        <f>IF(C14&lt;&gt;"",IF(G14&lt;&gt;"",CONCATENATE("Data (Enter ",C14,"-",G14," Data in Blue Cells)"),"Data (Enter Crude Data in Blue Cells)"),"Data (Enter Crude Data in Blue Cells)")</f>
        <v>Data (Enter Smoke-BC Data in Blue Cells)</v>
      </c>
      <c r="C15" s="279"/>
      <c r="D15" s="279"/>
      <c r="E15" s="279"/>
      <c r="F15" s="279"/>
      <c r="G15" s="279"/>
      <c r="H15" s="46"/>
      <c r="I15" s="280" t="s">
        <v>167</v>
      </c>
      <c r="J15" s="280"/>
      <c r="K15" s="280"/>
      <c r="L15" s="280"/>
      <c r="M15" s="280"/>
      <c r="N15" s="280"/>
      <c r="O15" s="280"/>
      <c r="P15" s="280"/>
      <c r="S15" s="82" t="s">
        <v>116</v>
      </c>
      <c r="U15" s="127"/>
      <c r="V15" s="128">
        <f>E18/E22</f>
        <v>0.47588932806324108</v>
      </c>
      <c r="W15" s="82" t="s">
        <v>118</v>
      </c>
      <c r="Y15" s="127"/>
      <c r="Z15" s="128">
        <f>1-V15</f>
        <v>0.52411067193675898</v>
      </c>
      <c r="AB15" s="135"/>
      <c r="AC15" s="136"/>
      <c r="AD15" s="113"/>
      <c r="AE15" s="20"/>
      <c r="AF15" s="20"/>
      <c r="AG15" s="50" t="s">
        <v>185</v>
      </c>
      <c r="AH15" s="50"/>
      <c r="AI15" s="127"/>
      <c r="AJ15" s="50">
        <f ca="1">IFERROR((P20*(1-AJ11))/((1-P18)*AJ11+P20*(1-AJ11)),"")</f>
        <v>0.93900824846297914</v>
      </c>
      <c r="AL15" s="53">
        <f t="shared" si="0"/>
        <v>0.21999999999999997</v>
      </c>
      <c r="AM15" s="50">
        <f ca="1"/>
        <v>0</v>
      </c>
      <c r="AN15" s="50">
        <f ca="1"/>
        <v>0</v>
      </c>
      <c r="AO15" s="50">
        <f ca="1"/>
        <v>0</v>
      </c>
      <c r="AP15" s="50">
        <f ca="1"/>
        <v>0</v>
      </c>
    </row>
    <row r="16" spans="2:68" ht="13.5" thickBot="1">
      <c r="B16" s="4"/>
      <c r="C16" s="281" t="s">
        <v>34</v>
      </c>
      <c r="D16" s="281" t="s">
        <v>1</v>
      </c>
      <c r="E16" s="281"/>
      <c r="F16" s="281"/>
      <c r="G16" s="39"/>
      <c r="I16" s="4"/>
      <c r="J16" s="281" t="s">
        <v>168</v>
      </c>
      <c r="K16" s="281"/>
      <c r="L16" s="281"/>
      <c r="M16" s="281"/>
      <c r="N16" s="40"/>
      <c r="P16" s="20">
        <f ca="1">IF(J18&gt;0,IF(J20&gt;0,IF(L18&gt;0,IF(L20&gt;0,0,1),1),1),1)</f>
        <v>0</v>
      </c>
      <c r="S16" s="9" t="s">
        <v>141</v>
      </c>
      <c r="T16" s="138"/>
      <c r="U16" s="68"/>
      <c r="V16" s="68"/>
      <c r="W16" s="68"/>
      <c r="X16" s="138"/>
      <c r="Y16" s="68"/>
      <c r="Z16" s="68"/>
      <c r="AB16" s="135"/>
      <c r="AC16" s="136"/>
      <c r="AD16" s="113"/>
      <c r="AE16" s="20"/>
      <c r="AF16" s="20"/>
      <c r="AG16" s="50" t="s">
        <v>186</v>
      </c>
      <c r="AH16" s="50"/>
      <c r="AI16" s="127"/>
      <c r="AJ16" s="50">
        <f ca="1">IFERROR((P21*(1-AJ12))/((1-P19 )*AJ12+P21*(1-AJ12)),"")</f>
        <v>0.94914120810142377</v>
      </c>
      <c r="AL16" s="53">
        <f t="shared" si="0"/>
        <v>0.23999999999999996</v>
      </c>
      <c r="AM16" s="50">
        <f ca="1"/>
        <v>0</v>
      </c>
      <c r="AN16" s="50">
        <f ca="1"/>
        <v>0</v>
      </c>
      <c r="AO16" s="50">
        <f ca="1"/>
        <v>0</v>
      </c>
      <c r="AP16" s="50">
        <f ca="1"/>
        <v>0</v>
      </c>
    </row>
    <row r="17" spans="2:42" ht="13.5" thickBot="1">
      <c r="B17" s="5"/>
      <c r="C17" s="282" t="str">
        <f>IF(C14&lt;&gt;"",CONCATENATE(C14," +"),"E+")</f>
        <v>Smoke +</v>
      </c>
      <c r="D17" s="282" t="s">
        <v>0</v>
      </c>
      <c r="E17" s="282" t="str">
        <f>IF(C14&lt;&gt;"",CONCATENATE(C14," -"),"E-")</f>
        <v>Smoke -</v>
      </c>
      <c r="F17" s="282" t="s">
        <v>0</v>
      </c>
      <c r="G17" s="29" t="s">
        <v>1</v>
      </c>
      <c r="I17" s="5"/>
      <c r="J17" s="282" t="str">
        <f>C17</f>
        <v>Smoke +</v>
      </c>
      <c r="K17" s="282" t="s">
        <v>0</v>
      </c>
      <c r="L17" s="282" t="str">
        <f>E17</f>
        <v>Smoke -</v>
      </c>
      <c r="M17" s="282" t="s">
        <v>0</v>
      </c>
      <c r="N17" s="41" t="str">
        <f>G17</f>
        <v>Total</v>
      </c>
      <c r="O17" s="284" t="s">
        <v>81</v>
      </c>
      <c r="P17" s="284"/>
      <c r="S17" s="82" t="s">
        <v>129</v>
      </c>
      <c r="U17" s="127"/>
      <c r="V17" s="139" t="str">
        <f>IF(ISBLANK(W23)=TRUE,"",CORREL(W22:W999999,X22:X999999))</f>
        <v/>
      </c>
      <c r="W17" s="135" t="s">
        <v>130</v>
      </c>
      <c r="Y17" s="136"/>
      <c r="Z17" s="139" t="str">
        <f>IF(ISBLANK(Y23)=TRUE,"",CORREL(Y22:Y999999,Z22:Z999999))</f>
        <v/>
      </c>
      <c r="AB17" s="136"/>
      <c r="AC17" s="136"/>
      <c r="AD17" s="136"/>
      <c r="AE17" s="20"/>
      <c r="AF17" s="20"/>
      <c r="AG17" s="50"/>
      <c r="AH17" s="50"/>
      <c r="AI17" s="127"/>
      <c r="AJ17" s="50"/>
      <c r="AL17" s="53">
        <f t="shared" si="0"/>
        <v>0.25999999999999995</v>
      </c>
      <c r="AM17" s="50">
        <f ca="1"/>
        <v>0</v>
      </c>
      <c r="AN17" s="50">
        <f ca="1"/>
        <v>0</v>
      </c>
      <c r="AO17" s="50">
        <f ca="1"/>
        <v>0</v>
      </c>
      <c r="AP17" s="50">
        <f ca="1"/>
        <v>1</v>
      </c>
    </row>
    <row r="18" spans="2:42" ht="14.25" customHeight="1">
      <c r="B18" s="283" t="str">
        <f>IF(G14&lt;&gt;"",CONCATENATE(G14," +"),"D+")</f>
        <v>BC +</v>
      </c>
      <c r="C18" s="285">
        <v>173</v>
      </c>
      <c r="D18" s="12" t="s">
        <v>15</v>
      </c>
      <c r="E18" s="287">
        <v>602</v>
      </c>
      <c r="F18" s="12" t="s">
        <v>17</v>
      </c>
      <c r="G18" s="288">
        <f>SUM(C18:F19)</f>
        <v>775</v>
      </c>
      <c r="I18" s="283" t="str">
        <f>B18</f>
        <v>BC +</v>
      </c>
      <c r="J18" s="313">
        <f ca="1">IF(AND(AJ13&lt;&gt;"",AJ15&lt;&gt;""),IF(AJ13=1,C18,IF(AJ13=0,0,_xlfn.BINOM.INV(C18,AJ13,RAND())))+IF(AJ15=1,0,IF(AJ15=0,C20,_xlfn.BINOM.INV(C20,1-AJ15,RAND()))),"")</f>
        <v>173</v>
      </c>
      <c r="K18" s="16" t="s">
        <v>119</v>
      </c>
      <c r="L18" s="313">
        <f ca="1">IF(AND(AJ14&lt;&gt;"",AJ16&lt;&gt;""),IF(AJ14=1,E18,IF(AJ14=0,0,_xlfn.BINOM.INV(E18,AJ14,RAND())))+IF(AJ16=1,0,IF(AJ16=0,E20,_xlfn.BINOM.INV(E20,1-AJ16,RAND()))),"")</f>
        <v>506</v>
      </c>
      <c r="M18" s="16" t="s">
        <v>120</v>
      </c>
      <c r="N18" s="315">
        <f ca="1">J18+L18</f>
        <v>679</v>
      </c>
      <c r="O18" s="1" t="s">
        <v>56</v>
      </c>
      <c r="P18" s="67">
        <f ca="1">AH3</f>
        <v>0.95048892317593781</v>
      </c>
      <c r="S18" s="312" t="s">
        <v>96</v>
      </c>
      <c r="T18" s="312"/>
      <c r="U18" s="312"/>
      <c r="V18" s="312"/>
      <c r="W18" s="312"/>
      <c r="X18" s="312"/>
      <c r="Y18" s="312"/>
      <c r="Z18" s="312"/>
      <c r="AB18" s="113"/>
      <c r="AC18" s="136"/>
      <c r="AD18" s="113"/>
      <c r="AE18" s="20"/>
      <c r="AF18" s="20"/>
      <c r="AG18" s="50" t="s">
        <v>119</v>
      </c>
      <c r="AH18" s="50"/>
      <c r="AI18" s="50"/>
      <c r="AJ18" s="50">
        <f ca="1">IFERROR(((C18-(1-P20)*C22) / (P18-(1-P20))),"")</f>
        <v>166.88582353926475</v>
      </c>
      <c r="AL18" s="53">
        <f t="shared" si="0"/>
        <v>0.27999999999999997</v>
      </c>
      <c r="AM18" s="50">
        <f ca="1"/>
        <v>0</v>
      </c>
      <c r="AN18" s="50">
        <f ca="1"/>
        <v>0</v>
      </c>
      <c r="AO18" s="50">
        <f ca="1"/>
        <v>0</v>
      </c>
      <c r="AP18" s="50">
        <f ca="1"/>
        <v>0</v>
      </c>
    </row>
    <row r="19" spans="2:42" ht="12.75" customHeight="1">
      <c r="B19" s="283"/>
      <c r="C19" s="286"/>
      <c r="D19" s="13"/>
      <c r="E19" s="286"/>
      <c r="F19" s="12"/>
      <c r="G19" s="289"/>
      <c r="I19" s="283"/>
      <c r="J19" s="291"/>
      <c r="K19" s="16"/>
      <c r="L19" s="291"/>
      <c r="M19" s="16"/>
      <c r="N19" s="289"/>
      <c r="O19" s="1" t="s">
        <v>57</v>
      </c>
      <c r="P19" s="67">
        <f ca="1">IF(E12=2,AH4,P18)</f>
        <v>0.93670688354783405</v>
      </c>
      <c r="AB19" s="113"/>
      <c r="AC19" s="136"/>
      <c r="AD19" s="113"/>
      <c r="AE19" s="20"/>
      <c r="AF19" s="20"/>
      <c r="AG19" s="50" t="s">
        <v>120</v>
      </c>
      <c r="AH19" s="50"/>
      <c r="AI19" s="50"/>
      <c r="AJ19" s="50">
        <f ca="1">IFERROR((E18-(1-P21)*E22) / (P19-(1-P21)),"")</f>
        <v>509.62544920242919</v>
      </c>
      <c r="AL19" s="53">
        <f t="shared" si="0"/>
        <v>0.3</v>
      </c>
      <c r="AM19" s="50">
        <f ca="1"/>
        <v>0</v>
      </c>
      <c r="AN19" s="50">
        <f ca="1"/>
        <v>0</v>
      </c>
      <c r="AO19" s="50">
        <f ca="1"/>
        <v>0</v>
      </c>
      <c r="AP19" s="50">
        <f ca="1"/>
        <v>0</v>
      </c>
    </row>
    <row r="20" spans="2:42" ht="12.75" customHeight="1">
      <c r="B20" s="283" t="str">
        <f>IF(G14&lt;&gt;"",CONCATENATE(G14," -"),"D-")</f>
        <v>BC -</v>
      </c>
      <c r="C20" s="292">
        <v>134</v>
      </c>
      <c r="D20" s="14" t="s">
        <v>16</v>
      </c>
      <c r="E20" s="292">
        <v>663</v>
      </c>
      <c r="F20" s="14" t="s">
        <v>18</v>
      </c>
      <c r="G20" s="289">
        <f>SUM(C20:F21)</f>
        <v>797</v>
      </c>
      <c r="I20" s="283" t="str">
        <f>B20</f>
        <v>BC -</v>
      </c>
      <c r="J20" s="295">
        <f ca="1">IF(J18&lt;&gt;"",C22-J18,"")</f>
        <v>134</v>
      </c>
      <c r="K20" s="17" t="s">
        <v>121</v>
      </c>
      <c r="L20" s="295">
        <f ca="1">IF(L18&lt;&gt;"",E22-L18,"")</f>
        <v>759</v>
      </c>
      <c r="M20" s="17" t="s">
        <v>72</v>
      </c>
      <c r="N20" s="316">
        <f ca="1">J20+L20</f>
        <v>893</v>
      </c>
      <c r="O20" s="1" t="s">
        <v>58</v>
      </c>
      <c r="P20" s="67">
        <f ca="1">AH5</f>
        <v>0.89739172970221504</v>
      </c>
      <c r="S20" s="51" t="s">
        <v>70</v>
      </c>
      <c r="T20" s="51"/>
      <c r="U20" s="51" t="s">
        <v>67</v>
      </c>
      <c r="V20" s="51"/>
      <c r="W20" s="51" t="s">
        <v>53</v>
      </c>
      <c r="X20" s="51"/>
      <c r="Y20" s="51"/>
      <c r="Z20" s="51"/>
      <c r="AG20" s="50" t="s">
        <v>121</v>
      </c>
      <c r="AH20" s="50"/>
      <c r="AI20" s="50"/>
      <c r="AJ20" s="50">
        <f ca="1">IFERROR(C22-AJ18,"")</f>
        <v>140.11417646073525</v>
      </c>
      <c r="AL20" s="53">
        <f t="shared" si="0"/>
        <v>0.32</v>
      </c>
      <c r="AM20" s="50">
        <f ca="1"/>
        <v>0</v>
      </c>
      <c r="AN20" s="50">
        <f ca="1"/>
        <v>0</v>
      </c>
      <c r="AO20" s="50">
        <f ca="1"/>
        <v>0</v>
      </c>
      <c r="AP20" s="50">
        <f ca="1"/>
        <v>0</v>
      </c>
    </row>
    <row r="21" spans="2:42" ht="13.5" thickBot="1">
      <c r="B21" s="283"/>
      <c r="C21" s="293"/>
      <c r="D21" s="15"/>
      <c r="E21" s="293"/>
      <c r="F21" s="15"/>
      <c r="G21" s="294"/>
      <c r="I21" s="283"/>
      <c r="J21" s="296"/>
      <c r="K21" s="18"/>
      <c r="L21" s="296"/>
      <c r="M21" s="18"/>
      <c r="N21" s="294"/>
      <c r="O21" s="1" t="s">
        <v>59</v>
      </c>
      <c r="P21" s="67">
        <f ca="1">IF(E12=2,AH6,P20)</f>
        <v>0.83500856155488001</v>
      </c>
      <c r="S21" s="57" t="s">
        <v>47</v>
      </c>
      <c r="T21" s="57" t="s">
        <v>48</v>
      </c>
      <c r="U21" s="57" t="str">
        <f>S21</f>
        <v>RR</v>
      </c>
      <c r="V21" s="57" t="str">
        <f>T21</f>
        <v>OR</v>
      </c>
      <c r="W21" s="57" t="s">
        <v>50</v>
      </c>
      <c r="X21" s="57" t="s">
        <v>49</v>
      </c>
      <c r="Y21" s="57" t="s">
        <v>51</v>
      </c>
      <c r="Z21" s="57" t="s">
        <v>52</v>
      </c>
      <c r="AG21" s="50" t="s">
        <v>72</v>
      </c>
      <c r="AH21" s="50"/>
      <c r="AI21" s="50"/>
      <c r="AJ21" s="50">
        <f ca="1">IFERROR(E22-AJ19,"")</f>
        <v>755.37455079757081</v>
      </c>
      <c r="AL21" s="53">
        <f t="shared" si="0"/>
        <v>0.34</v>
      </c>
      <c r="AM21" s="50">
        <f ca="1"/>
        <v>0</v>
      </c>
      <c r="AN21" s="50">
        <f ca="1"/>
        <v>0</v>
      </c>
      <c r="AO21" s="50">
        <f ca="1"/>
        <v>0</v>
      </c>
      <c r="AP21" s="50">
        <f ca="1"/>
        <v>0</v>
      </c>
    </row>
    <row r="22" spans="2:42" ht="12.75" customHeight="1">
      <c r="B22" s="283" t="s">
        <v>1</v>
      </c>
      <c r="C22" s="301">
        <f>SUM(C18:C21)</f>
        <v>307</v>
      </c>
      <c r="D22" s="16" t="s">
        <v>20</v>
      </c>
      <c r="E22" s="301">
        <f>SUM(E18:E21)</f>
        <v>1265</v>
      </c>
      <c r="F22" s="16" t="s">
        <v>19</v>
      </c>
      <c r="G22" s="6"/>
      <c r="I22" s="283" t="str">
        <f>B22</f>
        <v>Total</v>
      </c>
      <c r="J22" s="313">
        <f ca="1">J18+J20</f>
        <v>307</v>
      </c>
      <c r="K22" s="16" t="s">
        <v>124</v>
      </c>
      <c r="L22" s="313">
        <f ca="1">L18+L20</f>
        <v>1265</v>
      </c>
      <c r="M22" s="16" t="s">
        <v>125</v>
      </c>
      <c r="S22" s="57">
        <f ca="1">IF(OR(J18="",J20="",L18="",L20="",AJ23=0),"",AJ23)</f>
        <v>1.3493371855407423</v>
      </c>
      <c r="T22" s="57">
        <f ca="1">IF(OR(J18="",J20="",L18="",L20="",AJ24=0),"",AJ24)</f>
        <v>1.7654223053658102</v>
      </c>
      <c r="U22" s="103">
        <f ca="1">IF(OR(J18="",J20="",L18="",L20="",V3=0),"",V6)</f>
        <v>1.3083868569455757</v>
      </c>
      <c r="V22" s="57">
        <f ca="1">IF(OR(J18="",J20="",L18="",L20="",Z3=0),"",Z6)</f>
        <v>2.0814824304033595</v>
      </c>
      <c r="W22" s="108">
        <f ca="1">AH3</f>
        <v>0.95048892317593781</v>
      </c>
      <c r="X22" s="108">
        <f ca="1">AH4</f>
        <v>0.93670688354783405</v>
      </c>
      <c r="Y22" s="137">
        <f ca="1">AH5</f>
        <v>0.89739172970221504</v>
      </c>
      <c r="Z22" s="108">
        <f ca="1">AH6</f>
        <v>0.83500856155488001</v>
      </c>
      <c r="AJ22" s="127"/>
      <c r="AL22" s="53">
        <f t="shared" si="0"/>
        <v>0.36000000000000004</v>
      </c>
      <c r="AM22" s="50">
        <f ca="1"/>
        <v>0</v>
      </c>
      <c r="AN22" s="50">
        <f ca="1"/>
        <v>0</v>
      </c>
      <c r="AO22" s="50">
        <f ca="1"/>
        <v>0</v>
      </c>
      <c r="AP22" s="50">
        <f ca="1"/>
        <v>0</v>
      </c>
    </row>
    <row r="23" spans="2:42" ht="13.5" customHeight="1">
      <c r="B23" s="283"/>
      <c r="C23" s="302"/>
      <c r="D23" s="7"/>
      <c r="E23" s="302"/>
      <c r="F23" s="7"/>
      <c r="G23" s="3"/>
      <c r="I23" s="283"/>
      <c r="J23" s="291"/>
      <c r="K23" s="8"/>
      <c r="L23" s="291"/>
      <c r="M23" s="8"/>
      <c r="AG23" s="50" t="s">
        <v>47</v>
      </c>
      <c r="AH23" s="50"/>
      <c r="AI23" s="50"/>
      <c r="AJ23" s="50">
        <f ca="1">IFERROR((AJ18/(AJ18+AJ20))/(AJ19/(AJ19+AJ21)),"")</f>
        <v>1.3493371855407423</v>
      </c>
      <c r="AL23" s="53">
        <f t="shared" si="0"/>
        <v>0.38000000000000006</v>
      </c>
      <c r="AM23" s="50">
        <f ca="1"/>
        <v>0</v>
      </c>
      <c r="AN23" s="50">
        <f ca="1"/>
        <v>0</v>
      </c>
      <c r="AO23" s="50">
        <f ca="1"/>
        <v>0</v>
      </c>
      <c r="AP23" s="50">
        <f ca="1"/>
        <v>0</v>
      </c>
    </row>
    <row r="24" spans="2:42" ht="13.5" customHeight="1">
      <c r="B24" s="44"/>
      <c r="C24" s="44"/>
      <c r="D24" s="45"/>
      <c r="E24" s="44"/>
      <c r="F24" s="45"/>
      <c r="G24" s="3"/>
      <c r="AG24" s="50" t="s">
        <v>48</v>
      </c>
      <c r="AH24" s="50"/>
      <c r="AI24" s="50"/>
      <c r="AJ24" s="50">
        <f ca="1">IFERROR((AJ18/AJ20)/(AJ19/AJ21),"")</f>
        <v>1.7654223053658102</v>
      </c>
      <c r="AL24" s="53">
        <f t="shared" si="0"/>
        <v>0.40000000000000008</v>
      </c>
      <c r="AM24" s="50">
        <f ca="1"/>
        <v>0</v>
      </c>
      <c r="AN24" s="50">
        <f ca="1"/>
        <v>0</v>
      </c>
      <c r="AO24" s="50">
        <f ca="1"/>
        <v>0</v>
      </c>
      <c r="AP24" s="50">
        <f ca="1"/>
        <v>0</v>
      </c>
    </row>
    <row r="25" spans="2:42" ht="13.5" customHeight="1">
      <c r="B25" s="37" t="s">
        <v>35</v>
      </c>
      <c r="C25" s="38"/>
      <c r="D25" s="38"/>
      <c r="E25" s="37" t="s">
        <v>4</v>
      </c>
      <c r="F25" s="37"/>
      <c r="G25" s="38"/>
      <c r="I25" s="35" t="s">
        <v>169</v>
      </c>
      <c r="J25" s="36"/>
      <c r="K25" s="36"/>
      <c r="L25" s="36"/>
      <c r="M25" s="35" t="s">
        <v>36</v>
      </c>
      <c r="O25" s="314"/>
      <c r="P25" s="314"/>
      <c r="AG25" s="50"/>
      <c r="AH25" s="50"/>
      <c r="AI25" s="50"/>
      <c r="AJ25" s="50"/>
      <c r="AL25" s="53">
        <f t="shared" si="0"/>
        <v>0.4200000000000001</v>
      </c>
      <c r="AM25" s="50">
        <f ca="1"/>
        <v>0</v>
      </c>
      <c r="AN25" s="50">
        <f ca="1"/>
        <v>0</v>
      </c>
      <c r="AO25" s="50">
        <f ca="1"/>
        <v>0</v>
      </c>
      <c r="AP25" s="50">
        <f ca="1"/>
        <v>0</v>
      </c>
    </row>
    <row r="26" spans="2:42" ht="13.5" customHeight="1">
      <c r="B26" s="1" t="str">
        <f>IF(C14&lt;&gt;"",IF(G14&lt;&gt;"",CONCATENATE("RR (",C14,"-",G14,")"),"RR (ED)"),"RR (ED)")</f>
        <v>RR (Smoke-BC)</v>
      </c>
      <c r="E26" s="3" t="str">
        <f>CONCATENATE(ROUND((C18/C22)/(E18/E22),2)," (",ROUND(EXP(LN((C18/C22)/(E18/E22))-1.96*V4),2)," - ",ROUND(EXP(LN((C18/C22)/(E18/E22))+1.96*V4),2),")")</f>
        <v>1.18 (1.06 - 1.33)</v>
      </c>
      <c r="F26" s="3"/>
      <c r="G26" s="3"/>
      <c r="I26" s="1" t="str">
        <f>IF(C14&lt;&gt;"",IF(G14&lt;&gt;"",CONCATENATE("RR (",C14,"-",G14,")"),"RR (ED)"),"RR (ED)")</f>
        <v>RR (Smoke-BC)</v>
      </c>
      <c r="K26" s="3"/>
      <c r="M26" s="65" t="str">
        <f ca="1">IF(OR(J18="",J20="",L18="",L20=""),"",CONCATENATE(ROUND((J18/J22)/(L18/L22),2)))</f>
        <v>1.41</v>
      </c>
      <c r="AG26" s="50"/>
      <c r="AH26" s="50"/>
      <c r="AI26" s="50"/>
      <c r="AJ26" s="50"/>
      <c r="AL26" s="53">
        <f t="shared" si="0"/>
        <v>0.44000000000000011</v>
      </c>
      <c r="AM26" s="50">
        <f ca="1"/>
        <v>0</v>
      </c>
      <c r="AN26" s="50">
        <f ca="1"/>
        <v>0</v>
      </c>
      <c r="AO26" s="50">
        <f ca="1"/>
        <v>0</v>
      </c>
      <c r="AP26" s="50">
        <f ca="1"/>
        <v>1</v>
      </c>
    </row>
    <row r="27" spans="2:42" ht="13.5" customHeight="1">
      <c r="B27" s="9" t="str">
        <f>IF(C14&lt;&gt;"",IF(G14&lt;&gt;"",CONCATENATE("OR (",C14,"-",G14,")"),"OR (ED)"),"OR (ED)")</f>
        <v>OR (Smoke-BC)</v>
      </c>
      <c r="C27" s="10"/>
      <c r="D27" s="10"/>
      <c r="E27" s="34" t="str">
        <f>CONCATENATE(ROUND((C18/C20)/(E18/E20),2)," (",ROUND(EXP(LN((C18/C20)/(E18/E20))-1.96*Z4),2)," - ",ROUND(EXP(LN((C18/C20)/(E18/E20))+1.96*Z4),2),")")</f>
        <v>1.42 (1.11 - 1.83)</v>
      </c>
      <c r="F27" s="34"/>
      <c r="G27" s="34"/>
      <c r="I27" s="9" t="str">
        <f>IF(C14&lt;&gt;"",IF(G14&lt;&gt;"",CONCATENATE("OR (",C14,"-",G14,")"),"OR (ED)"),"OR (ED)")</f>
        <v>OR (Smoke-BC)</v>
      </c>
      <c r="J27" s="10"/>
      <c r="K27" s="34"/>
      <c r="L27" s="10"/>
      <c r="M27" s="66" t="str">
        <f ca="1">IF(OR(J18="",J20="",L18="",L20=""),"",CONCATENATE(ROUND((J18/J20)/(L18/L20),2)))</f>
        <v>1.94</v>
      </c>
      <c r="AG27" s="50"/>
      <c r="AH27" s="50"/>
      <c r="AI27" s="50"/>
      <c r="AJ27" s="50"/>
      <c r="AL27" s="53">
        <f t="shared" si="0"/>
        <v>0.46000000000000013</v>
      </c>
      <c r="AM27" s="50">
        <f ca="1"/>
        <v>0</v>
      </c>
      <c r="AN27" s="50">
        <f ca="1"/>
        <v>0</v>
      </c>
      <c r="AO27" s="50">
        <f ca="1"/>
        <v>0</v>
      </c>
      <c r="AP27" s="50">
        <f ca="1"/>
        <v>0</v>
      </c>
    </row>
    <row r="28" spans="2:42" ht="13.5" customHeight="1">
      <c r="B28" s="1"/>
      <c r="E28" s="3"/>
      <c r="F28" s="3"/>
      <c r="G28" s="3"/>
      <c r="AG28" s="50"/>
      <c r="AH28" s="50"/>
      <c r="AI28" s="50"/>
      <c r="AJ28" s="50"/>
      <c r="AL28" s="53">
        <f t="shared" si="0"/>
        <v>0.48000000000000015</v>
      </c>
      <c r="AM28" s="50">
        <f ca="1"/>
        <v>0</v>
      </c>
      <c r="AN28" s="50">
        <f ca="1"/>
        <v>0</v>
      </c>
      <c r="AO28" s="50">
        <f ca="1"/>
        <v>0</v>
      </c>
      <c r="AP28" s="50">
        <f ca="1"/>
        <v>0</v>
      </c>
    </row>
    <row r="29" spans="2:42" ht="13.5" customHeight="1">
      <c r="B29" s="307" t="str">
        <f>CONCATENATE("RR Simulation Results (N=",COUNT(U23:U50008),")")</f>
        <v>RR Simulation Results (N=0)</v>
      </c>
      <c r="C29" s="307"/>
      <c r="D29" s="307"/>
      <c r="E29" s="307"/>
      <c r="F29" s="307"/>
      <c r="G29" s="307"/>
      <c r="I29" s="307" t="str">
        <f>CONCATENATE("OR Simulation Results (N=",COUNT(V23:V50008),")")</f>
        <v>OR Simulation Results (N=0)</v>
      </c>
      <c r="J29" s="307"/>
      <c r="K29" s="307"/>
      <c r="L29" s="307"/>
      <c r="M29" s="307"/>
      <c r="N29" s="307"/>
      <c r="O29" s="1"/>
      <c r="P29" s="308" t="s">
        <v>182</v>
      </c>
      <c r="AL29" s="53">
        <f t="shared" si="0"/>
        <v>0.50000000000000011</v>
      </c>
      <c r="AM29" s="50">
        <f ca="1"/>
        <v>0</v>
      </c>
      <c r="AN29" s="50">
        <f ca="1"/>
        <v>0</v>
      </c>
      <c r="AO29" s="50">
        <f ca="1"/>
        <v>0</v>
      </c>
      <c r="AP29" s="50">
        <f ca="1"/>
        <v>0</v>
      </c>
    </row>
    <row r="30" spans="2:42" ht="13.5" customHeight="1">
      <c r="B30" s="35" t="s">
        <v>68</v>
      </c>
      <c r="C30" s="307" t="s">
        <v>69</v>
      </c>
      <c r="D30" s="307"/>
      <c r="E30" s="307"/>
      <c r="F30" s="307"/>
      <c r="G30" s="307"/>
      <c r="I30" s="35" t="s">
        <v>68</v>
      </c>
      <c r="J30" s="307" t="s">
        <v>69</v>
      </c>
      <c r="K30" s="307"/>
      <c r="L30" s="307"/>
      <c r="M30" s="307"/>
      <c r="N30" s="307"/>
      <c r="P30" s="309"/>
      <c r="AL30" s="53">
        <f t="shared" si="0"/>
        <v>0.52000000000000013</v>
      </c>
      <c r="AM30" s="50">
        <f ca="1"/>
        <v>0</v>
      </c>
      <c r="AN30" s="50">
        <f ca="1"/>
        <v>0</v>
      </c>
      <c r="AO30" s="50">
        <f ca="1"/>
        <v>0</v>
      </c>
      <c r="AP30" s="50">
        <f ca="1"/>
        <v>0</v>
      </c>
    </row>
    <row r="31" spans="2:42" ht="13.5" customHeight="1">
      <c r="B31" s="1" t="s">
        <v>65</v>
      </c>
      <c r="C31" s="310" t="str">
        <f>E26</f>
        <v>1.18 (1.06 - 1.33)</v>
      </c>
      <c r="D31" s="311"/>
      <c r="E31" s="311"/>
      <c r="F31" s="311"/>
      <c r="G31" s="311"/>
      <c r="I31" s="1" t="s">
        <v>65</v>
      </c>
      <c r="J31" s="43"/>
      <c r="K31" s="310" t="str">
        <f>E27</f>
        <v>1.42 (1.11 - 1.83)</v>
      </c>
      <c r="L31" s="311"/>
      <c r="M31" s="311"/>
      <c r="N31" s="311"/>
      <c r="P31" s="266" t="str">
        <f>IF(COUNTA(V23:V400000)&gt;0,I12-COUNTA(V23:V400000),"")</f>
        <v/>
      </c>
      <c r="AL31" s="53">
        <f t="shared" si="0"/>
        <v>0.54000000000000015</v>
      </c>
      <c r="AM31" s="50">
        <f ca="1"/>
        <v>0</v>
      </c>
      <c r="AN31" s="50">
        <f ca="1"/>
        <v>0</v>
      </c>
      <c r="AO31" s="50">
        <f ca="1"/>
        <v>0</v>
      </c>
      <c r="AP31" s="50">
        <f ca="1"/>
        <v>1</v>
      </c>
    </row>
    <row r="32" spans="2:42" ht="13.5" customHeight="1">
      <c r="B32" s="1" t="s">
        <v>66</v>
      </c>
      <c r="C32" s="298" t="str">
        <f>IF(COUNTA(S23:S400000)&gt;0,CONCATENATE(ROUND(PERCENTILE(S23:S50011,0.5),2)," (",ROUND(PERCENTILE(S23:S50011,0.025),2)," - ",ROUND(PERCENTILE(S23:S50011,0.975),2),")"),"")</f>
        <v/>
      </c>
      <c r="D32" s="298"/>
      <c r="E32" s="298"/>
      <c r="F32" s="298"/>
      <c r="G32" s="298"/>
      <c r="I32" s="1" t="s">
        <v>66</v>
      </c>
      <c r="J32" s="43"/>
      <c r="K32" s="298" t="str">
        <f>IF(COUNTA(T23:T400000)&gt;0,CONCATENATE(ROUND(PERCENTILE(T23:T50011,0.5),2)," (",ROUND(PERCENTILE(T23:T50011,0.025),2)," - ",ROUND(PERCENTILE(T23:T50011,0.975),2),")"),"")</f>
        <v/>
      </c>
      <c r="L32" s="298"/>
      <c r="M32" s="298"/>
      <c r="N32" s="298"/>
      <c r="P32" s="267"/>
      <c r="AL32" s="53">
        <f t="shared" si="0"/>
        <v>0.56000000000000016</v>
      </c>
      <c r="AM32" s="50">
        <f ca="1"/>
        <v>0</v>
      </c>
      <c r="AN32" s="50">
        <f ca="1"/>
        <v>0</v>
      </c>
      <c r="AO32" s="50">
        <f ca="1"/>
        <v>0</v>
      </c>
      <c r="AP32" s="50">
        <f ca="1"/>
        <v>0</v>
      </c>
    </row>
    <row r="33" spans="2:42" ht="13">
      <c r="B33" s="9" t="s">
        <v>67</v>
      </c>
      <c r="C33" s="299" t="str">
        <f>IF(COUNTA(U23:U400000)&gt;0,CONCATENATE(ROUND(PERCENTILE(U23:U50011,0.5),2)," (",ROUND(PERCENTILE(U23:U50011,0.025),2)," - ",ROUND(PERCENTILE(U23:U50011,0.975),2),")"),"")</f>
        <v/>
      </c>
      <c r="D33" s="299"/>
      <c r="E33" s="299"/>
      <c r="F33" s="299"/>
      <c r="G33" s="299"/>
      <c r="I33" s="9" t="s">
        <v>67</v>
      </c>
      <c r="J33" s="59"/>
      <c r="K33" s="299" t="str">
        <f>IF(COUNTA(V23:V400000)&gt;0,CONCATENATE(ROUND(PERCENTILE(V23:V50011,0.5),2)," (",ROUND(PERCENTILE(V23:V50011,0.025),2)," - ",ROUND(PERCENTILE(V23:V50011,0.975),2),")"),"")</f>
        <v/>
      </c>
      <c r="L33" s="299"/>
      <c r="M33" s="299"/>
      <c r="N33" s="299"/>
      <c r="O33" s="10"/>
      <c r="P33" s="268"/>
      <c r="AL33" s="53">
        <f t="shared" si="0"/>
        <v>0.58000000000000018</v>
      </c>
      <c r="AM33" s="50">
        <f ca="1"/>
        <v>0</v>
      </c>
      <c r="AN33" s="50">
        <f ca="1"/>
        <v>0</v>
      </c>
      <c r="AO33" s="50">
        <f ca="1"/>
        <v>0</v>
      </c>
      <c r="AP33" s="50">
        <f ca="1"/>
        <v>0</v>
      </c>
    </row>
    <row r="34" spans="2:42" ht="12.75" customHeight="1">
      <c r="AL34" s="53">
        <f t="shared" si="0"/>
        <v>0.6000000000000002</v>
      </c>
      <c r="AM34" s="50">
        <f ca="1"/>
        <v>0</v>
      </c>
      <c r="AN34" s="50">
        <f ca="1"/>
        <v>0</v>
      </c>
      <c r="AO34" s="50">
        <f ca="1"/>
        <v>0</v>
      </c>
      <c r="AP34" s="50">
        <f ca="1"/>
        <v>1</v>
      </c>
    </row>
    <row r="35" spans="2:42" ht="13">
      <c r="H35" s="303"/>
      <c r="I35" s="303"/>
      <c r="J35" s="303"/>
      <c r="L35" s="304" t="e">
        <f>#REF!+#REF!</f>
        <v>#REF!</v>
      </c>
      <c r="M35" s="304"/>
      <c r="N35" s="304"/>
      <c r="O35" s="304"/>
      <c r="Q35" s="1"/>
      <c r="R35" s="1"/>
      <c r="AH35" s="56"/>
      <c r="AI35" s="28"/>
      <c r="AL35" s="53">
        <f t="shared" si="0"/>
        <v>0.62000000000000022</v>
      </c>
      <c r="AM35" s="50">
        <f ca="1"/>
        <v>0</v>
      </c>
      <c r="AN35" s="50">
        <f ca="1"/>
        <v>0</v>
      </c>
      <c r="AO35" s="50">
        <f ca="1"/>
        <v>0</v>
      </c>
      <c r="AP35" s="50">
        <f ca="1"/>
        <v>0</v>
      </c>
    </row>
    <row r="36" spans="2:42" ht="13">
      <c r="H36" s="32"/>
      <c r="I36" s="32"/>
      <c r="J36" s="32"/>
      <c r="L36" s="69"/>
      <c r="M36" s="69"/>
      <c r="N36" s="69"/>
      <c r="O36" s="69"/>
      <c r="AH36" s="56"/>
      <c r="AI36" s="28"/>
      <c r="AL36" s="53">
        <f t="shared" si="0"/>
        <v>0.64000000000000024</v>
      </c>
      <c r="AM36" s="50">
        <f ca="1"/>
        <v>0</v>
      </c>
      <c r="AN36" s="50">
        <f ca="1"/>
        <v>0</v>
      </c>
      <c r="AO36" s="50">
        <f ca="1"/>
        <v>0</v>
      </c>
      <c r="AP36" s="50">
        <f ca="1"/>
        <v>0</v>
      </c>
    </row>
    <row r="37" spans="2:42" ht="13">
      <c r="H37" s="32"/>
      <c r="I37" s="32"/>
      <c r="J37" s="32"/>
      <c r="L37" s="69"/>
      <c r="M37" s="69"/>
      <c r="N37" s="69"/>
      <c r="O37" s="69"/>
      <c r="Q37" s="23"/>
      <c r="R37" s="23"/>
      <c r="AH37" s="56"/>
      <c r="AI37" s="28"/>
      <c r="AL37" s="53">
        <f t="shared" ref="AL37:AL53" si="2">AL36+0.02</f>
        <v>0.66000000000000025</v>
      </c>
      <c r="AM37" s="50">
        <f ca="1"/>
        <v>0</v>
      </c>
      <c r="AN37" s="50">
        <f ca="1"/>
        <v>0</v>
      </c>
      <c r="AO37" s="50">
        <f ca="1"/>
        <v>0</v>
      </c>
      <c r="AP37" s="50">
        <f ca="1"/>
        <v>0</v>
      </c>
    </row>
    <row r="38" spans="2:42" ht="13">
      <c r="H38" s="32"/>
      <c r="I38" s="32"/>
      <c r="J38" s="32"/>
      <c r="L38" s="69"/>
      <c r="M38" s="69"/>
      <c r="N38" s="69"/>
      <c r="O38" s="69"/>
      <c r="Q38" s="23"/>
      <c r="R38" s="23"/>
      <c r="AH38" s="56"/>
      <c r="AI38" s="28"/>
      <c r="AL38" s="53">
        <f t="shared" si="2"/>
        <v>0.68000000000000027</v>
      </c>
      <c r="AM38" s="50">
        <f ca="1"/>
        <v>0</v>
      </c>
      <c r="AN38" s="50">
        <f ca="1"/>
        <v>0</v>
      </c>
      <c r="AO38" s="50">
        <f ca="1"/>
        <v>0</v>
      </c>
      <c r="AP38" s="50">
        <f ca="1"/>
        <v>0</v>
      </c>
    </row>
    <row r="39" spans="2:42" ht="13">
      <c r="H39" s="32"/>
      <c r="I39" s="32"/>
      <c r="J39" s="32"/>
      <c r="L39" s="69"/>
      <c r="M39" s="69"/>
      <c r="N39" s="69"/>
      <c r="O39" s="69"/>
      <c r="AH39" s="56"/>
      <c r="AI39" s="28"/>
      <c r="AL39" s="53">
        <f t="shared" si="2"/>
        <v>0.70000000000000029</v>
      </c>
      <c r="AM39" s="50">
        <f ca="1"/>
        <v>0</v>
      </c>
      <c r="AN39" s="50">
        <f ca="1"/>
        <v>0</v>
      </c>
      <c r="AO39" s="50">
        <f ca="1"/>
        <v>0</v>
      </c>
      <c r="AP39" s="50">
        <f ca="1"/>
        <v>0</v>
      </c>
    </row>
    <row r="40" spans="2:42" ht="13">
      <c r="H40" s="32"/>
      <c r="I40" s="32"/>
      <c r="J40" s="32"/>
      <c r="L40" s="69"/>
      <c r="M40" s="69"/>
      <c r="N40" s="69"/>
      <c r="O40" s="69"/>
      <c r="Q40" s="1"/>
      <c r="R40" s="1"/>
      <c r="AH40" s="56"/>
      <c r="AI40" s="28"/>
      <c r="AL40" s="53">
        <f t="shared" si="2"/>
        <v>0.72000000000000031</v>
      </c>
      <c r="AM40" s="50">
        <f ca="1"/>
        <v>0</v>
      </c>
      <c r="AN40" s="50">
        <f ca="1"/>
        <v>0</v>
      </c>
      <c r="AO40" s="50">
        <f ca="1"/>
        <v>0</v>
      </c>
      <c r="AP40" s="50">
        <f ca="1"/>
        <v>1</v>
      </c>
    </row>
    <row r="41" spans="2:42" ht="13">
      <c r="H41" s="32"/>
      <c r="I41" s="32"/>
      <c r="J41" s="32"/>
      <c r="L41" s="69"/>
      <c r="M41" s="69"/>
      <c r="N41" s="69"/>
      <c r="O41" s="69"/>
      <c r="AH41" s="56"/>
      <c r="AI41" s="28"/>
      <c r="AL41" s="53">
        <f t="shared" si="2"/>
        <v>0.74000000000000032</v>
      </c>
      <c r="AM41" s="50">
        <f ca="1"/>
        <v>0</v>
      </c>
      <c r="AN41" s="50">
        <f ca="1"/>
        <v>0</v>
      </c>
      <c r="AO41" s="50">
        <f ca="1"/>
        <v>0</v>
      </c>
      <c r="AP41" s="50">
        <f ca="1"/>
        <v>0</v>
      </c>
    </row>
    <row r="42" spans="2:42" ht="13">
      <c r="H42" s="32"/>
      <c r="I42" s="32"/>
      <c r="J42" s="32"/>
      <c r="L42" s="69"/>
      <c r="M42" s="69"/>
      <c r="N42" s="69"/>
      <c r="O42" s="69"/>
      <c r="AH42" s="56"/>
      <c r="AI42" s="28"/>
      <c r="AL42" s="53">
        <f t="shared" si="2"/>
        <v>0.76000000000000034</v>
      </c>
      <c r="AM42" s="50">
        <f ca="1"/>
        <v>0</v>
      </c>
      <c r="AN42" s="50">
        <f ca="1"/>
        <v>0</v>
      </c>
      <c r="AO42" s="50">
        <f ca="1"/>
        <v>0</v>
      </c>
      <c r="AP42" s="50">
        <f ca="1"/>
        <v>0</v>
      </c>
    </row>
    <row r="43" spans="2:42" ht="13">
      <c r="H43" s="32"/>
      <c r="I43" s="32"/>
      <c r="J43" s="32"/>
      <c r="L43" s="69"/>
      <c r="M43" s="69"/>
      <c r="N43" s="69"/>
      <c r="O43" s="69"/>
      <c r="AH43" s="56"/>
      <c r="AI43" s="28"/>
      <c r="AL43" s="53">
        <f t="shared" si="2"/>
        <v>0.78000000000000036</v>
      </c>
      <c r="AM43" s="50">
        <f ca="1"/>
        <v>0</v>
      </c>
      <c r="AN43" s="50">
        <f ca="1"/>
        <v>0</v>
      </c>
      <c r="AO43" s="50">
        <f ca="1"/>
        <v>0</v>
      </c>
      <c r="AP43" s="50">
        <f ca="1"/>
        <v>1</v>
      </c>
    </row>
    <row r="44" spans="2:42" ht="13">
      <c r="H44" s="32"/>
      <c r="I44" s="32"/>
      <c r="J44" s="32"/>
      <c r="L44" s="69"/>
      <c r="M44" s="69"/>
      <c r="N44" s="69"/>
      <c r="O44" s="69"/>
      <c r="AH44" s="56"/>
      <c r="AI44" s="28"/>
      <c r="AL44" s="53">
        <f t="shared" si="2"/>
        <v>0.80000000000000038</v>
      </c>
      <c r="AM44" s="50">
        <f ca="1"/>
        <v>0</v>
      </c>
      <c r="AN44" s="50">
        <f ca="1"/>
        <v>0</v>
      </c>
      <c r="AO44" s="50">
        <f ca="1"/>
        <v>0</v>
      </c>
      <c r="AP44" s="50">
        <f ca="1"/>
        <v>0</v>
      </c>
    </row>
    <row r="45" spans="2:42" ht="13">
      <c r="H45" s="32"/>
      <c r="I45" s="32"/>
      <c r="J45" s="32"/>
      <c r="L45" s="69"/>
      <c r="M45" s="69"/>
      <c r="N45" s="69"/>
      <c r="O45" s="69"/>
      <c r="AH45" s="56"/>
      <c r="AI45" s="28"/>
      <c r="AL45" s="53">
        <f t="shared" si="2"/>
        <v>0.8200000000000004</v>
      </c>
      <c r="AM45" s="50">
        <f ca="1"/>
        <v>0</v>
      </c>
      <c r="AN45" s="50">
        <f ca="1"/>
        <v>0</v>
      </c>
      <c r="AO45" s="50">
        <f ca="1"/>
        <v>0</v>
      </c>
      <c r="AP45" s="50">
        <f ca="1"/>
        <v>0</v>
      </c>
    </row>
    <row r="46" spans="2:42" ht="13">
      <c r="B46" s="21" t="s">
        <v>9</v>
      </c>
      <c r="C46" s="21"/>
      <c r="D46" s="21"/>
      <c r="E46" s="21"/>
      <c r="F46" s="21"/>
      <c r="G46" s="21"/>
      <c r="H46" s="21"/>
      <c r="I46" s="21"/>
      <c r="J46" s="21"/>
      <c r="K46" s="21"/>
      <c r="L46" s="21"/>
      <c r="M46" s="21"/>
      <c r="N46" s="21"/>
      <c r="O46" s="21"/>
      <c r="P46" s="21"/>
      <c r="AL46" s="53">
        <f t="shared" si="2"/>
        <v>0.84000000000000041</v>
      </c>
      <c r="AM46" s="50">
        <f ca="1"/>
        <v>0</v>
      </c>
      <c r="AN46" s="50">
        <f ca="1"/>
        <v>0</v>
      </c>
      <c r="AO46" s="50">
        <f ca="1"/>
        <v>0</v>
      </c>
      <c r="AP46" s="50">
        <f ca="1"/>
        <v>1</v>
      </c>
    </row>
    <row r="47" spans="2:42" ht="13">
      <c r="B47" s="305"/>
      <c r="C47" s="305"/>
      <c r="D47" s="305"/>
      <c r="E47" s="305"/>
      <c r="F47" s="305"/>
      <c r="G47" s="305"/>
      <c r="H47" s="305"/>
      <c r="I47" s="305"/>
      <c r="J47" s="305"/>
      <c r="K47" s="305"/>
      <c r="L47" s="305"/>
      <c r="M47" s="305"/>
      <c r="N47" s="305"/>
      <c r="O47" s="305"/>
      <c r="P47" s="305"/>
      <c r="AL47" s="53">
        <f t="shared" si="2"/>
        <v>0.86000000000000043</v>
      </c>
      <c r="AM47" s="50">
        <f ca="1"/>
        <v>0</v>
      </c>
      <c r="AN47" s="50">
        <f ca="1"/>
        <v>0</v>
      </c>
      <c r="AO47" s="50">
        <f ca="1"/>
        <v>0</v>
      </c>
      <c r="AP47" s="50">
        <f ca="1"/>
        <v>0</v>
      </c>
    </row>
    <row r="48" spans="2:42">
      <c r="B48" s="300"/>
      <c r="C48" s="300"/>
      <c r="D48" s="300"/>
      <c r="E48" s="300"/>
      <c r="F48" s="300"/>
      <c r="G48" s="300"/>
      <c r="H48" s="300"/>
      <c r="I48" s="300"/>
      <c r="J48" s="300"/>
      <c r="K48" s="300"/>
      <c r="L48" s="300"/>
      <c r="M48" s="300"/>
      <c r="N48" s="300"/>
      <c r="O48" s="300"/>
      <c r="P48" s="300"/>
      <c r="AL48" s="53">
        <f t="shared" si="2"/>
        <v>0.88000000000000045</v>
      </c>
      <c r="AM48" s="50">
        <f ca="1"/>
        <v>0</v>
      </c>
      <c r="AN48" s="50">
        <f ca="1"/>
        <v>0</v>
      </c>
      <c r="AO48" s="50">
        <f ca="1"/>
        <v>0</v>
      </c>
      <c r="AP48" s="50">
        <f ca="1"/>
        <v>0</v>
      </c>
    </row>
    <row r="49" spans="2:42">
      <c r="B49" s="300"/>
      <c r="C49" s="300"/>
      <c r="D49" s="300"/>
      <c r="E49" s="300"/>
      <c r="F49" s="300"/>
      <c r="G49" s="300"/>
      <c r="H49" s="300"/>
      <c r="I49" s="300"/>
      <c r="J49" s="300"/>
      <c r="K49" s="300"/>
      <c r="L49" s="300"/>
      <c r="M49" s="300"/>
      <c r="N49" s="300"/>
      <c r="O49" s="300"/>
      <c r="P49" s="300"/>
      <c r="AL49" s="53">
        <f t="shared" si="2"/>
        <v>0.90000000000000047</v>
      </c>
      <c r="AM49" s="50">
        <f ca="1"/>
        <v>0</v>
      </c>
      <c r="AN49" s="50">
        <f ca="1"/>
        <v>0</v>
      </c>
      <c r="AO49" s="50">
        <f ca="1"/>
        <v>1</v>
      </c>
      <c r="AP49" s="50">
        <f ca="1"/>
        <v>0</v>
      </c>
    </row>
    <row r="50" spans="2:42">
      <c r="B50" s="10"/>
      <c r="C50" s="10"/>
      <c r="D50" s="10"/>
      <c r="E50" s="10"/>
      <c r="F50" s="10"/>
      <c r="G50" s="10"/>
      <c r="H50" s="10"/>
      <c r="I50" s="10"/>
      <c r="J50" s="10"/>
      <c r="K50" s="10"/>
      <c r="L50" s="10"/>
      <c r="M50" s="10"/>
      <c r="N50" s="10"/>
      <c r="O50" s="10"/>
      <c r="P50" s="10"/>
      <c r="AL50" s="53">
        <f t="shared" si="2"/>
        <v>0.92000000000000048</v>
      </c>
      <c r="AM50" s="50">
        <f ca="1"/>
        <v>0</v>
      </c>
      <c r="AN50" s="50">
        <f ca="1"/>
        <v>0</v>
      </c>
      <c r="AO50" s="50">
        <f ca="1"/>
        <v>0</v>
      </c>
      <c r="AP50" s="50">
        <f ca="1"/>
        <v>0</v>
      </c>
    </row>
    <row r="51" spans="2:42">
      <c r="B51" s="127" t="s">
        <v>201</v>
      </c>
      <c r="AL51" s="53">
        <f t="shared" si="2"/>
        <v>0.9400000000000005</v>
      </c>
      <c r="AM51" s="50">
        <f ca="1"/>
        <v>0</v>
      </c>
      <c r="AN51" s="50">
        <f ca="1"/>
        <v>1</v>
      </c>
      <c r="AO51" s="50">
        <f ca="1"/>
        <v>0</v>
      </c>
      <c r="AP51" s="50">
        <f ca="1"/>
        <v>0</v>
      </c>
    </row>
    <row r="52" spans="2:42">
      <c r="AL52" s="53">
        <f t="shared" si="2"/>
        <v>0.96000000000000052</v>
      </c>
      <c r="AM52" s="50">
        <f ca="1"/>
        <v>1</v>
      </c>
      <c r="AN52" s="50">
        <f ca="1"/>
        <v>0</v>
      </c>
      <c r="AO52" s="50">
        <f ca="1"/>
        <v>0</v>
      </c>
      <c r="AP52" s="50">
        <f ca="1"/>
        <v>0</v>
      </c>
    </row>
    <row r="53" spans="2:42">
      <c r="AL53" s="53">
        <f t="shared" si="2"/>
        <v>0.98000000000000054</v>
      </c>
      <c r="AM53" s="50">
        <f ca="1"/>
        <v>0</v>
      </c>
      <c r="AN53" s="50">
        <f ca="1"/>
        <v>0</v>
      </c>
      <c r="AO53" s="50">
        <f ca="1"/>
        <v>0</v>
      </c>
      <c r="AP53" s="50">
        <f ca="1"/>
        <v>0</v>
      </c>
    </row>
  </sheetData>
  <mergeCells count="59">
    <mergeCell ref="B15:G15"/>
    <mergeCell ref="N18:N19"/>
    <mergeCell ref="G18:G19"/>
    <mergeCell ref="C20:C21"/>
    <mergeCell ref="B18:B19"/>
    <mergeCell ref="J17:K17"/>
    <mergeCell ref="L17:M17"/>
    <mergeCell ref="J18:J19"/>
    <mergeCell ref="L20:L21"/>
    <mergeCell ref="G20:G21"/>
    <mergeCell ref="B20:B21"/>
    <mergeCell ref="I20:I21"/>
    <mergeCell ref="E20:E21"/>
    <mergeCell ref="N20:N21"/>
    <mergeCell ref="C16:F16"/>
    <mergeCell ref="B49:P49"/>
    <mergeCell ref="B22:B23"/>
    <mergeCell ref="O25:P25"/>
    <mergeCell ref="C33:G33"/>
    <mergeCell ref="K31:N31"/>
    <mergeCell ref="I29:N29"/>
    <mergeCell ref="P29:P30"/>
    <mergeCell ref="B48:P48"/>
    <mergeCell ref="K33:N33"/>
    <mergeCell ref="J22:J23"/>
    <mergeCell ref="L22:L23"/>
    <mergeCell ref="C22:C23"/>
    <mergeCell ref="B47:P47"/>
    <mergeCell ref="H35:J35"/>
    <mergeCell ref="L35:O35"/>
    <mergeCell ref="B29:G29"/>
    <mergeCell ref="K32:N32"/>
    <mergeCell ref="C17:D17"/>
    <mergeCell ref="J20:J21"/>
    <mergeCell ref="P31:P33"/>
    <mergeCell ref="C32:G32"/>
    <mergeCell ref="L18:L19"/>
    <mergeCell ref="J30:N30"/>
    <mergeCell ref="E22:E23"/>
    <mergeCell ref="I22:I23"/>
    <mergeCell ref="C31:G31"/>
    <mergeCell ref="C30:G30"/>
    <mergeCell ref="E18:E19"/>
    <mergeCell ref="O17:P17"/>
    <mergeCell ref="I18:I19"/>
    <mergeCell ref="C18:C19"/>
    <mergeCell ref="E17:F17"/>
    <mergeCell ref="B12:C12"/>
    <mergeCell ref="K6:P6"/>
    <mergeCell ref="K7:P14"/>
    <mergeCell ref="B6:G6"/>
    <mergeCell ref="S2:AA2"/>
    <mergeCell ref="S8:Z8"/>
    <mergeCell ref="B13:G13"/>
    <mergeCell ref="S18:Z18"/>
    <mergeCell ref="I15:P15"/>
    <mergeCell ref="J16:M16"/>
    <mergeCell ref="AL2:AP2"/>
    <mergeCell ref="AC1:AJ1"/>
  </mergeCells>
  <phoneticPr fontId="3"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ThisWorkbook.outc_misc">
                <anchor moveWithCells="1" sizeWithCells="1">
                  <from>
                    <xdr:col>11</xdr:col>
                    <xdr:colOff>355600</xdr:colOff>
                    <xdr:row>11</xdr:row>
                    <xdr:rowOff>203200</xdr:rowOff>
                  </from>
                  <to>
                    <xdr:col>14</xdr:col>
                    <xdr:colOff>444500</xdr:colOff>
                    <xdr:row>13</xdr:row>
                    <xdr:rowOff>88900</xdr:rowOff>
                  </to>
                </anchor>
              </controlPr>
            </control>
          </mc:Choice>
        </mc:AlternateContent>
        <mc:AlternateContent xmlns:mc="http://schemas.openxmlformats.org/markup-compatibility/2006">
          <mc:Choice Requires="x14">
            <control shapeId="6172" r:id="rId4" name="Drop Down 28">
              <controlPr defaultSize="0" autoLine="0" autoPict="0">
                <anchor moveWithCells="1">
                  <from>
                    <xdr:col>4</xdr:col>
                    <xdr:colOff>0</xdr:colOff>
                    <xdr:row>11</xdr:row>
                    <xdr:rowOff>12700</xdr:rowOff>
                  </from>
                  <to>
                    <xdr:col>5</xdr:col>
                    <xdr:colOff>25400</xdr:colOff>
                    <xdr:row>12</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75858E-3FFF-C34A-834E-3478F3F340C5}">
  <sheetPr codeName="Sheet4"/>
  <dimension ref="B1:BP122"/>
  <sheetViews>
    <sheetView tabSelected="1" topLeftCell="O2" zoomScale="80" zoomScaleNormal="80" workbookViewId="0">
      <selection activeCell="V7" sqref="V7"/>
    </sheetView>
  </sheetViews>
  <sheetFormatPr defaultColWidth="9.1796875" defaultRowHeight="12.5"/>
  <cols>
    <col min="1" max="1" width="2.81640625" style="142" customWidth="1"/>
    <col min="2" max="2" width="12.6328125" style="142" customWidth="1"/>
    <col min="3" max="3" width="7.453125" style="142" customWidth="1"/>
    <col min="4" max="4" width="3" style="142" customWidth="1"/>
    <col min="5" max="5" width="6.6328125" style="142" customWidth="1"/>
    <col min="6" max="6" width="4.453125" style="142" customWidth="1"/>
    <col min="7" max="7" width="7.1796875" style="142" customWidth="1"/>
    <col min="8" max="8" width="2.36328125" style="142" customWidth="1"/>
    <col min="9" max="9" width="8.453125" style="142" customWidth="1"/>
    <col min="10" max="10" width="7.453125" style="142" customWidth="1"/>
    <col min="11" max="11" width="8.453125" style="142" customWidth="1"/>
    <col min="12" max="12" width="5" style="142" customWidth="1"/>
    <col min="13" max="13" width="7.6328125" style="142" bestFit="1" customWidth="1"/>
    <col min="14" max="14" width="7.1796875" style="142" customWidth="1"/>
    <col min="15" max="15" width="7" style="142" customWidth="1"/>
    <col min="16" max="16" width="15" style="142" customWidth="1"/>
    <col min="17" max="17" width="3.6328125" style="142" customWidth="1"/>
    <col min="18" max="18" width="5.36328125" style="142" customWidth="1"/>
    <col min="19" max="19" width="11.453125" style="143" bestFit="1" customWidth="1"/>
    <col min="20" max="20" width="8.81640625" style="143" customWidth="1"/>
    <col min="21" max="21" width="7.81640625" style="143" customWidth="1"/>
    <col min="22" max="22" width="7.1796875" style="143" customWidth="1"/>
    <col min="23" max="23" width="7.36328125" style="143" customWidth="1"/>
    <col min="24" max="24" width="6.453125" style="143" customWidth="1"/>
    <col min="25" max="25" width="7.6328125" style="143" customWidth="1"/>
    <col min="26" max="26" width="1.453125" style="143" customWidth="1"/>
    <col min="27" max="27" width="2.453125" style="143" customWidth="1"/>
    <col min="28" max="30" width="9.1796875" style="143"/>
    <col min="31" max="31" width="2.1796875" style="143" customWidth="1"/>
    <col min="32" max="32" width="1.81640625" style="143" customWidth="1"/>
    <col min="33" max="35" width="6.36328125" style="143" customWidth="1"/>
    <col min="36" max="42" width="9.1796875" style="143"/>
    <col min="43" max="43" width="9.1796875" style="142"/>
    <col min="44" max="49" width="9.1796875" style="2"/>
    <col min="50" max="50" width="0" style="2" hidden="1" customWidth="1"/>
    <col min="51" max="51" width="12.81640625" style="2" hidden="1" customWidth="1"/>
    <col min="52" max="52" width="14.6328125" style="2" customWidth="1"/>
    <col min="53" max="54" width="0" style="2" hidden="1" customWidth="1"/>
    <col min="55" max="55" width="23.08984375" style="2" hidden="1" customWidth="1"/>
    <col min="56" max="58" width="9.1796875" style="2"/>
    <col min="59" max="16384" width="9.1796875" style="142"/>
  </cols>
  <sheetData>
    <row r="1" spans="2:68" ht="5.25" customHeight="1">
      <c r="AC1" s="364"/>
      <c r="AD1" s="364"/>
      <c r="AE1" s="364"/>
      <c r="AF1" s="364"/>
      <c r="AG1" s="364"/>
      <c r="AH1" s="208"/>
      <c r="AI1" s="208"/>
      <c r="AJ1" s="144"/>
      <c r="AK1" s="144"/>
      <c r="AL1" s="144"/>
      <c r="AM1" s="144"/>
    </row>
    <row r="2" spans="2:68" ht="29.5" thickBot="1">
      <c r="B2" s="145" t="s">
        <v>109</v>
      </c>
      <c r="C2" s="145"/>
      <c r="D2" s="145"/>
      <c r="E2" s="145"/>
      <c r="F2" s="145"/>
      <c r="G2" s="145"/>
      <c r="H2" s="145"/>
      <c r="I2" s="145"/>
      <c r="J2" s="145"/>
      <c r="K2" s="145"/>
      <c r="L2" s="145"/>
      <c r="M2" s="145"/>
      <c r="N2" s="145"/>
      <c r="O2" s="365" t="s">
        <v>78</v>
      </c>
      <c r="P2" s="365"/>
      <c r="Q2" s="365"/>
      <c r="R2" s="160"/>
      <c r="S2" s="366" t="s">
        <v>95</v>
      </c>
      <c r="T2" s="366"/>
      <c r="U2" s="366"/>
      <c r="V2" s="366"/>
      <c r="W2" s="366"/>
      <c r="X2" s="366"/>
      <c r="Y2" s="366"/>
      <c r="Z2" s="154"/>
      <c r="AB2" s="147"/>
      <c r="AC2" s="148" t="s">
        <v>41</v>
      </c>
      <c r="AD2" s="148" t="s">
        <v>43</v>
      </c>
      <c r="AE2" s="148"/>
      <c r="AF2" s="148"/>
      <c r="AG2" s="170" t="s">
        <v>42</v>
      </c>
      <c r="AH2" s="170"/>
      <c r="AI2" s="148" t="s">
        <v>102</v>
      </c>
      <c r="AJ2" s="148" t="s">
        <v>103</v>
      </c>
      <c r="AK2" s="366" t="s">
        <v>55</v>
      </c>
      <c r="AL2" s="366"/>
      <c r="AM2" s="366"/>
      <c r="AN2" s="366"/>
      <c r="AO2" s="366"/>
      <c r="AT2" s="252" t="s">
        <v>191</v>
      </c>
      <c r="AU2" s="252" t="s">
        <v>192</v>
      </c>
      <c r="AV2" s="252" t="s">
        <v>193</v>
      </c>
      <c r="AW2" s="252" t="s">
        <v>194</v>
      </c>
      <c r="AX2" s="252" t="s">
        <v>195</v>
      </c>
      <c r="AY2" s="252" t="s">
        <v>196</v>
      </c>
      <c r="AZ2" s="252" t="s">
        <v>197</v>
      </c>
      <c r="BA2" s="252"/>
      <c r="BB2" s="252"/>
      <c r="BC2" s="252" t="s">
        <v>198</v>
      </c>
    </row>
    <row r="3" spans="2:68" ht="13.5" thickTop="1">
      <c r="B3" s="149"/>
      <c r="S3" s="143" t="s">
        <v>48</v>
      </c>
      <c r="V3" s="209">
        <f ca="1">IFERROR(L28,"")</f>
        <v>0.23150959819101594</v>
      </c>
      <c r="W3" s="143" t="s">
        <v>47</v>
      </c>
      <c r="Y3" s="209">
        <f ca="1">IFERROR(L27,"")</f>
        <v>0.36775742203215156</v>
      </c>
      <c r="Z3" s="209"/>
      <c r="AB3" s="143" t="str">
        <f>B8</f>
        <v>p1</v>
      </c>
      <c r="AC3" s="153">
        <f ca="1">V11</f>
        <v>0.61148775579394998</v>
      </c>
      <c r="AD3" s="154">
        <f ca="1">BETAINV(AC3,AI3,AJ3)</f>
        <v>0.3543743118769519</v>
      </c>
      <c r="AE3" s="154"/>
      <c r="AF3" s="363">
        <f ca="1">BETAINV(AC3,AI3,AJ3)</f>
        <v>0.3543743118769519</v>
      </c>
      <c r="AG3" s="363"/>
      <c r="AH3" s="363"/>
      <c r="AI3" s="210">
        <f>C8</f>
        <v>10</v>
      </c>
      <c r="AJ3" s="210">
        <f>E8</f>
        <v>20</v>
      </c>
      <c r="AK3" s="148" t="s">
        <v>54</v>
      </c>
      <c r="AL3" s="148" t="str">
        <f>W21</f>
        <v>p1</v>
      </c>
      <c r="AM3" s="148" t="str">
        <f>X21</f>
        <v>p0</v>
      </c>
      <c r="AN3" s="148" t="str">
        <f>Y21</f>
        <v>RRDC</v>
      </c>
      <c r="AO3" s="148" t="s">
        <v>54</v>
      </c>
      <c r="AT3" s="251" t="s">
        <v>199</v>
      </c>
      <c r="AU3" s="251">
        <f>IF((C18/C22)/(E18/E22)&gt;0,(C18/C22)/(E18/E22),"")</f>
        <v>0.34791511541325393</v>
      </c>
      <c r="AV3" s="251">
        <f>IF((C18/C22)/(E18/E22)&gt;0,AU3-EXP(LN((C18/C22)/(E18/E22))-1.96*Y4),"")</f>
        <v>7.221373076806531E-2</v>
      </c>
      <c r="AW3" s="251">
        <f>IF((C18/C22)/(E18/E22)&gt;0,EXP(LN((C18/C22)/(E18/E22))+1.96*Y4)-AU3,"")</f>
        <v>9.1128481298439923E-2</v>
      </c>
      <c r="AX3" s="251"/>
      <c r="AY3" s="251"/>
      <c r="AZ3" s="251">
        <v>2.5</v>
      </c>
      <c r="BA3" s="251"/>
      <c r="BB3" s="251"/>
      <c r="BC3" s="251">
        <f>MIN($F$3:$F$17)</f>
        <v>0.16666666666666666</v>
      </c>
    </row>
    <row r="4" spans="2:68">
      <c r="S4" s="143" t="s">
        <v>2</v>
      </c>
      <c r="V4" s="143">
        <f>IFERROR(SQRT(1/C18+1/C20+1/E18+1/E20),"")</f>
        <v>0.18422469102983074</v>
      </c>
      <c r="W4" s="143" t="s">
        <v>3</v>
      </c>
      <c r="Y4" s="143">
        <f>IFERROR(SQRT(1/C18-1/C22+1/E18-1/E22),"")</f>
        <v>0.11869397371838183</v>
      </c>
      <c r="AB4" s="143" t="str">
        <f>B9</f>
        <v>p0</v>
      </c>
      <c r="AC4" s="153">
        <f ca="1">V12</f>
        <v>0.38450398425303972</v>
      </c>
      <c r="AD4" s="154">
        <f ca="1">BETAINV(AC4,AI4,AJ4)</f>
        <v>0.14924176485349314</v>
      </c>
      <c r="AE4" s="154"/>
      <c r="AF4" s="363">
        <f ca="1">BETAINV(AC4,AI4,AJ4)</f>
        <v>0.14924176485349314</v>
      </c>
      <c r="AG4" s="363"/>
      <c r="AH4" s="363"/>
      <c r="AI4" s="210">
        <f>C9</f>
        <v>10</v>
      </c>
      <c r="AJ4" s="210">
        <f>E9</f>
        <v>50</v>
      </c>
      <c r="AK4" s="154">
        <v>0</v>
      </c>
      <c r="AL4" s="143">
        <f t="array" aca="1" ref="AL4:AL53" ca="1">FREQUENCY(W4:W10000,AK4:AK53)</f>
        <v>0</v>
      </c>
      <c r="AM4" s="143">
        <f t="array" aca="1" ref="AM4:AM53" ca="1">FREQUENCY(X4:X10000,AK4:AK53)</f>
        <v>0</v>
      </c>
      <c r="AN4" s="143">
        <f t="array" aca="1" ref="AN4:AN104" ca="1">FREQUENCY(Y4:Y10000,AO4:AO104)</f>
        <v>0</v>
      </c>
      <c r="AO4" s="154">
        <v>0</v>
      </c>
      <c r="AT4" s="251" t="s">
        <v>200</v>
      </c>
      <c r="AU4" s="251">
        <f>IF(S23&lt;&gt;"",PERCENTILE(S23:S50014,0.5),"")</f>
        <v>0.37085381473150336</v>
      </c>
      <c r="AV4" s="251">
        <f>IF(S23&lt;&gt;"",AU4-PERCENTILE(S23:S50014,0.025),"")</f>
        <v>1.313575529180816E-2</v>
      </c>
      <c r="AW4" s="251">
        <f>IF(S23&lt;&gt;"",PERCENTILE(S23:S50014,0.975)-AU4,"")</f>
        <v>1.8349747496931135E-2</v>
      </c>
      <c r="AX4" s="251"/>
      <c r="AY4" s="251"/>
      <c r="AZ4" s="251">
        <v>1.5</v>
      </c>
      <c r="BA4" s="251"/>
      <c r="BB4" s="251"/>
      <c r="BC4" s="251">
        <f>MIN($F$3:$F$17)</f>
        <v>0.16666666666666666</v>
      </c>
      <c r="BP4" s="142" t="s">
        <v>100</v>
      </c>
    </row>
    <row r="5" spans="2:68">
      <c r="S5" s="143" t="s">
        <v>128</v>
      </c>
      <c r="V5" s="143">
        <f ca="1">IFERROR(SQRT(1/AC10+1/AD10+1/AC11+1/AD11+1/AC15+1/AD15+1/AC16+1/AD16),"")</f>
        <v>0.50242345377676356</v>
      </c>
      <c r="W5" s="143" t="s">
        <v>156</v>
      </c>
      <c r="Y5" s="143">
        <f ca="1">IFERROR(SQRT(1/AC10+1/AD10-1/AC12-1/AD12+1/AC15+1/AD15-1/AC17-1/AD17),"")</f>
        <v>0.35120922364713636</v>
      </c>
      <c r="AB5" s="147" t="str">
        <f>B11</f>
        <v>RRDC</v>
      </c>
      <c r="AC5" s="157">
        <f ca="1">RAND()</f>
        <v>0.98443471672377225</v>
      </c>
      <c r="AD5" s="158">
        <f ca="1">(AC5*(I11+G11-C11-E11)+(C11+E11))/2</f>
        <v>0.6642217358361886</v>
      </c>
      <c r="AE5" s="158"/>
      <c r="AF5" s="356">
        <f ca="1">AD5</f>
        <v>0.6642217358361886</v>
      </c>
      <c r="AG5" s="356"/>
      <c r="AH5" s="356"/>
      <c r="AI5" s="211"/>
      <c r="AK5" s="154">
        <f>AK4+0.02</f>
        <v>0.02</v>
      </c>
      <c r="AL5" s="143">
        <f ca="1"/>
        <v>0</v>
      </c>
      <c r="AM5" s="143">
        <f ca="1"/>
        <v>0</v>
      </c>
      <c r="AN5" s="143">
        <f ca="1"/>
        <v>0</v>
      </c>
      <c r="AO5" s="154">
        <f>AO4+0.1</f>
        <v>0.1</v>
      </c>
      <c r="AT5" s="251" t="s">
        <v>67</v>
      </c>
      <c r="AU5" s="251">
        <f>IF(U23&lt;&gt;"",PERCENTILE(U23:U50014,0.5),"")</f>
        <v>0.37550918434284775</v>
      </c>
      <c r="AV5" s="253">
        <f>IF(U23&lt;&gt;"",AU5-PERCENTILE(U23:U50014,0.025),"")</f>
        <v>8.4709236331330651E-2</v>
      </c>
      <c r="AW5" s="253">
        <f>IF(U23&lt;&gt;"",PERCENTILE(U23:U50014,0.975)-AU5,"")</f>
        <v>9.604451952668136E-2</v>
      </c>
      <c r="AX5" s="251"/>
      <c r="AY5" s="251"/>
      <c r="AZ5" s="251">
        <v>0.5</v>
      </c>
      <c r="BA5" s="251"/>
      <c r="BB5" s="251"/>
      <c r="BC5" s="251">
        <f>MIN($F$3:$F$17)</f>
        <v>0.16666666666666666</v>
      </c>
      <c r="BP5" s="142" t="s">
        <v>101</v>
      </c>
    </row>
    <row r="6" spans="2:68" ht="12.75" customHeight="1">
      <c r="B6" s="357" t="s">
        <v>7</v>
      </c>
      <c r="C6" s="357"/>
      <c r="D6" s="357"/>
      <c r="E6" s="357"/>
      <c r="F6" s="357"/>
      <c r="G6" s="357"/>
      <c r="H6" s="357"/>
      <c r="I6" s="357"/>
      <c r="K6" s="358" t="s">
        <v>5</v>
      </c>
      <c r="L6" s="358"/>
      <c r="M6" s="358"/>
      <c r="N6" s="358"/>
      <c r="O6" s="358"/>
      <c r="P6" s="358"/>
      <c r="Q6" s="358"/>
      <c r="R6" s="156"/>
      <c r="S6" s="143" t="s">
        <v>158</v>
      </c>
      <c r="V6" s="143">
        <f ca="1">IFERROR(SQRT(((X9*X11+Y9*Y11)/(2*(X9+Y9)^2))+(((X9*X12+X10*X11)+(Y9*Y12+Y10*Y11))/(2*(X9+Y9)*(X10+Y10)))+((X10*X12+Y10*Y12)/(2*(X10+Y10)^2))),"")</f>
        <v>0.18676326315924235</v>
      </c>
      <c r="W6" s="143" t="s">
        <v>157</v>
      </c>
      <c r="X6" s="142"/>
      <c r="Y6" s="143">
        <f ca="1">IFERROR(SQRT(((((N18+P18)*N22*P22/(N22+P22)^2-N18*P18/(N22+P22))) + (((I18+K18)*I22*K22/(I22+K22)^2-I18*K18/(I22+K22))))/ (((N18*P22/(N22+P22)+I18*K22/(I22+K22)))*(P18*N22/(N22+P22)+K18*I22/(I22+K22)))),"")</f>
        <v>0.12094325798875781</v>
      </c>
      <c r="AC6" s="153"/>
      <c r="AD6" s="154"/>
      <c r="AE6" s="154"/>
      <c r="AF6" s="154"/>
      <c r="AG6" s="212"/>
      <c r="AH6" s="212"/>
      <c r="AI6" s="212"/>
      <c r="AK6" s="154">
        <f t="shared" ref="AK6:AK53" si="0">AK5+0.02</f>
        <v>0.04</v>
      </c>
      <c r="AL6" s="143">
        <f ca="1"/>
        <v>0</v>
      </c>
      <c r="AM6" s="143">
        <f ca="1"/>
        <v>0</v>
      </c>
      <c r="AN6" s="143">
        <f ca="1"/>
        <v>2</v>
      </c>
      <c r="AO6" s="154">
        <f t="shared" ref="AO6:AO69" si="1">AO5+0.1</f>
        <v>0.2</v>
      </c>
    </row>
    <row r="7" spans="2:68" ht="15.75" customHeight="1">
      <c r="C7" s="160" t="s">
        <v>104</v>
      </c>
      <c r="D7" s="160"/>
      <c r="E7" s="160" t="s">
        <v>101</v>
      </c>
      <c r="F7" s="203" t="s">
        <v>105</v>
      </c>
      <c r="K7" s="359"/>
      <c r="L7" s="359"/>
      <c r="M7" s="359"/>
      <c r="N7" s="359"/>
      <c r="O7" s="359"/>
      <c r="P7" s="359"/>
      <c r="Q7" s="359"/>
      <c r="R7" s="213"/>
      <c r="S7" s="143" t="s">
        <v>136</v>
      </c>
      <c r="V7" s="143" t="b">
        <f ca="1">OR(AC10&lt;=0,AD10&lt;=0,AC11&lt;=0,AD11&lt;=0,AC15&lt;=0,AD15&lt;=0,AC16&lt;=0,AD16&lt;=0)</f>
        <v>0</v>
      </c>
      <c r="AB7" s="143" t="s">
        <v>170</v>
      </c>
      <c r="AK7" s="154">
        <f t="shared" si="0"/>
        <v>0.06</v>
      </c>
      <c r="AL7" s="143">
        <f ca="1"/>
        <v>0</v>
      </c>
      <c r="AM7" s="143">
        <f ca="1"/>
        <v>0</v>
      </c>
      <c r="AN7" s="143">
        <f ca="1"/>
        <v>1</v>
      </c>
      <c r="AO7" s="154">
        <f t="shared" si="1"/>
        <v>0.30000000000000004</v>
      </c>
      <c r="AT7" s="252" t="s">
        <v>191</v>
      </c>
      <c r="AU7" s="252" t="s">
        <v>192</v>
      </c>
      <c r="AV7" s="252" t="s">
        <v>193</v>
      </c>
      <c r="AW7" s="252" t="s">
        <v>194</v>
      </c>
      <c r="AX7" s="252" t="s">
        <v>195</v>
      </c>
      <c r="AY7" s="252" t="s">
        <v>196</v>
      </c>
      <c r="AZ7" s="252" t="s">
        <v>197</v>
      </c>
      <c r="BA7" s="252"/>
      <c r="BB7" s="252"/>
      <c r="BC7" s="252" t="s">
        <v>198</v>
      </c>
    </row>
    <row r="8" spans="2:68" ht="15" customHeight="1">
      <c r="B8" s="200" t="s">
        <v>60</v>
      </c>
      <c r="C8" s="214">
        <v>10</v>
      </c>
      <c r="E8" s="214">
        <v>20</v>
      </c>
      <c r="F8" s="171">
        <f>(C8)/(C8+E8)</f>
        <v>0.33333333333333331</v>
      </c>
      <c r="G8" s="160" t="s">
        <v>99</v>
      </c>
      <c r="I8" s="214">
        <v>0.8</v>
      </c>
      <c r="K8" s="360"/>
      <c r="L8" s="360"/>
      <c r="M8" s="360"/>
      <c r="N8" s="360"/>
      <c r="O8" s="360"/>
      <c r="P8" s="360"/>
      <c r="Q8" s="360"/>
      <c r="R8" s="213"/>
      <c r="S8" s="147" t="s">
        <v>97</v>
      </c>
      <c r="T8" s="147"/>
      <c r="U8" s="147"/>
      <c r="V8" s="147"/>
      <c r="W8" s="147" t="s">
        <v>164</v>
      </c>
      <c r="X8" s="147"/>
      <c r="Y8" s="147"/>
      <c r="AC8" s="143" t="str">
        <f>I16</f>
        <v>Muslim +</v>
      </c>
      <c r="AK8" s="154">
        <f t="shared" si="0"/>
        <v>0.08</v>
      </c>
      <c r="AL8" s="143">
        <f ca="1"/>
        <v>0</v>
      </c>
      <c r="AM8" s="143">
        <f ca="1"/>
        <v>2</v>
      </c>
      <c r="AN8" s="143">
        <f ca="1"/>
        <v>1</v>
      </c>
      <c r="AO8" s="154">
        <f t="shared" si="1"/>
        <v>0.4</v>
      </c>
      <c r="AT8" s="251" t="s">
        <v>199</v>
      </c>
      <c r="AU8" s="251">
        <f>IF((C18/C20)/(E18/E20)&gt;0,(C18/C20)/(E18/E20),"")</f>
        <v>0.2179930795847751</v>
      </c>
      <c r="AV8" s="251">
        <f>IF((C18/C20)/(E18/E20)&gt;0,AU8-EXP(LN((C18/C20)/(E18/E20))-1.96*V4),"")</f>
        <v>6.6068695666542276E-2</v>
      </c>
      <c r="AW8" s="251">
        <f>IF((C18/C20)/(E18/E20)&gt;0,EXP(LN((C18/C20)/(E18/E20))+1.96*V4)-AU8,"")</f>
        <v>9.4800571580730575E-2</v>
      </c>
      <c r="AX8" s="251"/>
      <c r="AY8" s="251"/>
      <c r="AZ8" s="251">
        <v>2.5</v>
      </c>
      <c r="BA8" s="251"/>
      <c r="BB8" s="251"/>
      <c r="BC8" s="251">
        <f>MIN($F$3:$F$17)</f>
        <v>0.16666666666666666</v>
      </c>
    </row>
    <row r="9" spans="2:68" ht="15">
      <c r="B9" s="200" t="s">
        <v>61</v>
      </c>
      <c r="C9" s="214">
        <v>10</v>
      </c>
      <c r="E9" s="214">
        <v>50</v>
      </c>
      <c r="F9" s="171">
        <f>(C9)/(C9+E9)</f>
        <v>0.16666666666666666</v>
      </c>
      <c r="G9" s="171"/>
      <c r="H9" s="172"/>
      <c r="K9" s="360"/>
      <c r="L9" s="360"/>
      <c r="M9" s="360"/>
      <c r="N9" s="360"/>
      <c r="O9" s="360"/>
      <c r="P9" s="360"/>
      <c r="Q9" s="360"/>
      <c r="R9" s="213"/>
      <c r="S9" s="143" t="s">
        <v>131</v>
      </c>
      <c r="V9" s="143">
        <f ca="1">NORMINV(RAND(),0,1)</f>
        <v>0.28319874751258872</v>
      </c>
      <c r="W9" s="143" t="s">
        <v>161</v>
      </c>
      <c r="X9" s="143">
        <f ca="1">I18*K20/(I22+K22)</f>
        <v>2.278481012658228</v>
      </c>
      <c r="Y9" s="143">
        <f ca="1">N18*P20/(N22+P22)</f>
        <v>9.9371727748691097</v>
      </c>
      <c r="AC9" s="143" t="str">
        <f>I17</f>
        <v>Circ +</v>
      </c>
      <c r="AD9" s="143" t="str">
        <f>K17</f>
        <v>Circ -</v>
      </c>
      <c r="AE9" s="154"/>
      <c r="AF9" s="154"/>
      <c r="AG9" s="154"/>
      <c r="AH9" s="165"/>
      <c r="AI9" s="142"/>
      <c r="AJ9" s="142"/>
      <c r="AK9" s="154">
        <f t="shared" si="0"/>
        <v>0.1</v>
      </c>
      <c r="AL9" s="143">
        <f ca="1"/>
        <v>0</v>
      </c>
      <c r="AM9" s="143">
        <f ca="1"/>
        <v>2</v>
      </c>
      <c r="AN9" s="143">
        <f ca="1"/>
        <v>0</v>
      </c>
      <c r="AO9" s="154">
        <f t="shared" si="1"/>
        <v>0.5</v>
      </c>
      <c r="AT9" s="251" t="s">
        <v>200</v>
      </c>
      <c r="AU9" s="251">
        <f>IF(T23&lt;&gt;"",PERCENTILE(T23:T50014,0.5),"")</f>
        <v>0.23210890874542439</v>
      </c>
      <c r="AV9" s="251">
        <f>IF(T23&lt;&gt;"",AU9-PERCENTILE(T23:T50014,0.025),"")</f>
        <v>1.0015221315950812E-2</v>
      </c>
      <c r="AW9" s="251">
        <f>IF(T23&lt;&gt;"",PERCENTILE(T23:T50014,0.975)-AU9,"")</f>
        <v>1.4002986010016011E-2</v>
      </c>
      <c r="AX9" s="251"/>
      <c r="AY9" s="251"/>
      <c r="AZ9" s="251">
        <v>1.5</v>
      </c>
      <c r="BA9" s="251"/>
      <c r="BB9" s="251"/>
      <c r="BC9" s="251">
        <f>MIN($F$3:$F$17)</f>
        <v>0.16666666666666666</v>
      </c>
    </row>
    <row r="10" spans="2:68" ht="15.75" customHeight="1">
      <c r="C10" s="159" t="s">
        <v>37</v>
      </c>
      <c r="D10" s="215"/>
      <c r="E10" s="159" t="s">
        <v>38</v>
      </c>
      <c r="F10" s="160"/>
      <c r="G10" s="159" t="s">
        <v>40</v>
      </c>
      <c r="H10" s="162"/>
      <c r="I10" s="159" t="s">
        <v>39</v>
      </c>
      <c r="J10" s="142" t="str">
        <f>IF(C11&lt;=E11,IF(E11&lt;=G11,IF(G11&lt;=I11,"","Error"),"Error"),"Error")</f>
        <v/>
      </c>
      <c r="K10" s="360"/>
      <c r="L10" s="360"/>
      <c r="M10" s="360"/>
      <c r="N10" s="360"/>
      <c r="O10" s="360"/>
      <c r="P10" s="360"/>
      <c r="Q10" s="360"/>
      <c r="R10" s="213"/>
      <c r="S10" s="143" t="s">
        <v>132</v>
      </c>
      <c r="T10" s="142"/>
      <c r="V10" s="143">
        <f ca="1">IF(I8&lt;1,NORMINV(RAND(),$I$8*V9,SQRT(1-I8^2)),V9)</f>
        <v>-0.29367276365154693</v>
      </c>
      <c r="W10" s="143" t="s">
        <v>159</v>
      </c>
      <c r="X10" s="143">
        <f ca="1">K18*I20/(I22+K22)</f>
        <v>6.8734177215189876</v>
      </c>
      <c r="Y10" s="143">
        <f ca="1">P18*N20/(N22+P22)</f>
        <v>45.89179755671902</v>
      </c>
      <c r="AB10" s="143" t="str">
        <f>B18</f>
        <v>HIV +</v>
      </c>
      <c r="AC10" s="143">
        <f ca="1">IFERROR((O29*AC12*C18) / (O29*AC12+C22-AC12),"")</f>
        <v>28.053326386787699</v>
      </c>
      <c r="AD10" s="143">
        <f ca="1">IFERROR((O29*AD12*E18)/(O29*AD12+E22- AD12),"")</f>
        <v>8.8705397876794869</v>
      </c>
      <c r="AE10" s="166"/>
      <c r="AF10" s="166"/>
      <c r="AG10" s="166"/>
      <c r="AH10" s="166"/>
      <c r="AI10" s="142"/>
      <c r="AJ10" s="142"/>
      <c r="AK10" s="154">
        <f t="shared" si="0"/>
        <v>0.12000000000000001</v>
      </c>
      <c r="AL10" s="143">
        <f ca="1"/>
        <v>0</v>
      </c>
      <c r="AM10" s="143">
        <f ca="1"/>
        <v>9</v>
      </c>
      <c r="AN10" s="143">
        <f ca="1"/>
        <v>0</v>
      </c>
      <c r="AO10" s="154">
        <f t="shared" si="1"/>
        <v>0.6</v>
      </c>
      <c r="AT10" s="251" t="s">
        <v>67</v>
      </c>
      <c r="AU10" s="251">
        <f>IF(V23&lt;&gt;"",PERCENTILE(V23:V50014,0.5),"")</f>
        <v>0.23117367646670167</v>
      </c>
      <c r="AV10" s="253">
        <f>IF(V23&lt;&gt;"",AU10-PERCENTILE(V23:V50014,0.025),"")</f>
        <v>6.1337417399559946E-2</v>
      </c>
      <c r="AW10" s="253">
        <f>IF(V23&lt;&gt;"",PERCENTILE(V23:V50014,0.975)-AU10,"")</f>
        <v>8.5885781164366348E-2</v>
      </c>
      <c r="AX10" s="251"/>
      <c r="AY10" s="251"/>
      <c r="AZ10" s="251">
        <v>0.5</v>
      </c>
      <c r="BA10" s="251"/>
      <c r="BB10" s="251"/>
      <c r="BC10" s="251">
        <f>MIN($F$3:$F$17)</f>
        <v>0.16666666666666666</v>
      </c>
    </row>
    <row r="11" spans="2:68" ht="14.25" customHeight="1">
      <c r="B11" s="200" t="s">
        <v>62</v>
      </c>
      <c r="C11" s="214">
        <v>0.6</v>
      </c>
      <c r="D11" s="168"/>
      <c r="E11" s="214">
        <v>0.63</v>
      </c>
      <c r="F11" s="168"/>
      <c r="G11" s="214">
        <v>0.63</v>
      </c>
      <c r="H11" s="168"/>
      <c r="I11" s="214">
        <v>0.7</v>
      </c>
      <c r="K11" s="360"/>
      <c r="L11" s="360"/>
      <c r="M11" s="360"/>
      <c r="N11" s="360"/>
      <c r="O11" s="360"/>
      <c r="P11" s="360"/>
      <c r="Q11" s="360"/>
      <c r="R11" s="213"/>
      <c r="S11" s="143" t="s">
        <v>133</v>
      </c>
      <c r="T11" s="142"/>
      <c r="V11" s="143">
        <f ca="1">_xlfn.NORM.DIST(V9,0,1,TRUE)</f>
        <v>0.61148775579394998</v>
      </c>
      <c r="W11" s="143" t="s">
        <v>160</v>
      </c>
      <c r="X11" s="143">
        <f ca="1">(K20+I18)/(I22+K22)</f>
        <v>0.19831223628691982</v>
      </c>
      <c r="Y11" s="143">
        <f ca="1">(P20+N18)/(N22+P22)</f>
        <v>0.26352530541012215</v>
      </c>
      <c r="AB11" s="143" t="str">
        <f>B20</f>
        <v>HIV -</v>
      </c>
      <c r="AC11" s="216">
        <f ca="1">IFERROR(AC12-AC10,"")</f>
        <v>195.91123871944592</v>
      </c>
      <c r="AD11" s="216">
        <f ca="1">IFERROR(AD12-AD10,"")</f>
        <v>17.694494356242291</v>
      </c>
      <c r="AE11" s="154"/>
      <c r="AF11" s="154"/>
      <c r="AG11" s="154"/>
      <c r="AH11" s="154"/>
      <c r="AI11" s="154"/>
      <c r="AK11" s="154">
        <f t="shared" si="0"/>
        <v>0.14000000000000001</v>
      </c>
      <c r="AL11" s="143">
        <f ca="1"/>
        <v>0</v>
      </c>
      <c r="AM11" s="143">
        <f ca="1"/>
        <v>10</v>
      </c>
      <c r="AN11" s="143">
        <f ca="1"/>
        <v>101</v>
      </c>
      <c r="AO11" s="154">
        <f t="shared" si="1"/>
        <v>0.7</v>
      </c>
    </row>
    <row r="12" spans="2:68" ht="13">
      <c r="B12" s="160" t="s">
        <v>46</v>
      </c>
      <c r="C12" s="217">
        <v>100</v>
      </c>
      <c r="D12" s="218"/>
      <c r="E12" s="219"/>
      <c r="K12" s="360"/>
      <c r="L12" s="360"/>
      <c r="M12" s="360"/>
      <c r="N12" s="360"/>
      <c r="O12" s="360"/>
      <c r="P12" s="360"/>
      <c r="Q12" s="360"/>
      <c r="R12" s="213"/>
      <c r="S12" s="143" t="s">
        <v>134</v>
      </c>
      <c r="T12" s="142"/>
      <c r="V12" s="143">
        <f ca="1">_xlfn.NORM.DIST(V10,0,1,TRUE)</f>
        <v>0.38450398425303972</v>
      </c>
      <c r="W12" s="143" t="s">
        <v>162</v>
      </c>
      <c r="X12" s="143">
        <f ca="1">(K18+I20)/(I22+K22)</f>
        <v>0.80168776371308015</v>
      </c>
      <c r="Y12" s="143">
        <f ca="1">(P18+N20)/(N22+P22)</f>
        <v>0.7364746945898778</v>
      </c>
      <c r="AB12" s="143" t="str">
        <f>B22</f>
        <v>Total</v>
      </c>
      <c r="AC12" s="143">
        <f ca="1">IFERROR(C22*O27,"")</f>
        <v>223.96456510623361</v>
      </c>
      <c r="AD12" s="143">
        <f ca="1">IFERROR(E22*O28,"")</f>
        <v>26.565034143921778</v>
      </c>
      <c r="AE12" s="154"/>
      <c r="AF12" s="154"/>
      <c r="AG12" s="154"/>
      <c r="AH12" s="154"/>
      <c r="AI12" s="154"/>
      <c r="AK12" s="154">
        <f t="shared" si="0"/>
        <v>0.16</v>
      </c>
      <c r="AL12" s="143">
        <f ca="1"/>
        <v>0</v>
      </c>
      <c r="AM12" s="143">
        <f ca="1"/>
        <v>21</v>
      </c>
      <c r="AN12" s="143">
        <f ca="1"/>
        <v>1</v>
      </c>
      <c r="AO12" s="154">
        <f t="shared" si="1"/>
        <v>0.79999999999999993</v>
      </c>
    </row>
    <row r="13" spans="2:68" ht="13">
      <c r="B13" s="335" t="s">
        <v>33</v>
      </c>
      <c r="C13" s="335"/>
      <c r="D13" s="335"/>
      <c r="E13" s="174"/>
      <c r="F13" s="361" t="s">
        <v>10</v>
      </c>
      <c r="G13" s="361"/>
      <c r="H13" s="362"/>
      <c r="I13" s="220" t="s">
        <v>14</v>
      </c>
      <c r="K13" s="360"/>
      <c r="L13" s="360"/>
      <c r="M13" s="360"/>
      <c r="N13" s="360"/>
      <c r="O13" s="360"/>
      <c r="P13" s="360"/>
      <c r="Q13" s="360"/>
      <c r="R13" s="213"/>
      <c r="X13" s="142"/>
      <c r="AC13" s="143" t="str">
        <f>N16</f>
        <v>Muslim -</v>
      </c>
      <c r="AE13" s="154"/>
      <c r="AF13" s="154"/>
      <c r="AG13" s="154"/>
      <c r="AH13" s="154"/>
      <c r="AI13" s="154"/>
      <c r="AK13" s="154">
        <f t="shared" si="0"/>
        <v>0.18</v>
      </c>
      <c r="AL13" s="143">
        <f ca="1"/>
        <v>0</v>
      </c>
      <c r="AM13" s="143">
        <f ca="1"/>
        <v>23</v>
      </c>
      <c r="AN13" s="143">
        <f ca="1"/>
        <v>0</v>
      </c>
      <c r="AO13" s="154">
        <f t="shared" si="1"/>
        <v>0.89999999999999991</v>
      </c>
    </row>
    <row r="14" spans="2:68" ht="14">
      <c r="B14" s="160" t="s">
        <v>12</v>
      </c>
      <c r="C14" s="352" t="s">
        <v>71</v>
      </c>
      <c r="D14" s="352"/>
      <c r="F14" s="335" t="s">
        <v>11</v>
      </c>
      <c r="G14" s="335"/>
      <c r="H14" s="353"/>
      <c r="I14" s="221" t="s">
        <v>13</v>
      </c>
      <c r="J14" s="213"/>
      <c r="K14" s="213"/>
      <c r="L14" s="213"/>
      <c r="S14" s="160" t="s">
        <v>135</v>
      </c>
      <c r="T14" s="142"/>
      <c r="V14" s="222">
        <f ca="1">IF(ISBLANK(W23)=TRUE,"",CORREL(W22:W999999,X22:X999999))</f>
        <v>0.7272594974742882</v>
      </c>
      <c r="X14" s="142"/>
      <c r="Y14" s="250"/>
      <c r="AC14" s="143" t="str">
        <f>AC9</f>
        <v>Circ +</v>
      </c>
      <c r="AD14" s="143" t="str">
        <f>AD9</f>
        <v>Circ -</v>
      </c>
      <c r="AE14" s="154"/>
      <c r="AF14" s="154"/>
      <c r="AG14" s="154"/>
      <c r="AH14" s="154"/>
      <c r="AI14" s="154"/>
      <c r="AJ14" s="154"/>
      <c r="AK14" s="154">
        <f t="shared" si="0"/>
        <v>0.19999999999999998</v>
      </c>
      <c r="AL14" s="143">
        <f ca="1"/>
        <v>2</v>
      </c>
      <c r="AM14" s="143">
        <f ca="1"/>
        <v>18</v>
      </c>
      <c r="AN14" s="143">
        <f ca="1"/>
        <v>0</v>
      </c>
      <c r="AO14" s="154">
        <f t="shared" si="1"/>
        <v>0.99999999999999989</v>
      </c>
    </row>
    <row r="15" spans="2:68" ht="13">
      <c r="B15" s="354" t="str">
        <f>IF(I13&lt;&gt;"",IF(I14&lt;&gt;"",CONCATENATE("Data (Enter Crude ",I13,"-",I14," Data in Blue Cells)"),"Data (Enter Crude Data in Blue Cells)"),"Data (Enter Crude Data in Blue Cells)")</f>
        <v>Data (Enter Crude Circ-HIV Data in Blue Cells)</v>
      </c>
      <c r="C15" s="354"/>
      <c r="D15" s="354"/>
      <c r="E15" s="354"/>
      <c r="F15" s="354"/>
      <c r="G15" s="354"/>
      <c r="H15" s="354"/>
      <c r="I15" s="354"/>
      <c r="J15" s="354"/>
      <c r="K15" s="354"/>
      <c r="L15" s="354"/>
      <c r="M15" s="354"/>
      <c r="N15" s="354"/>
      <c r="O15" s="354"/>
      <c r="P15" s="354"/>
      <c r="Q15" s="354"/>
      <c r="R15" s="178"/>
      <c r="T15" s="172"/>
      <c r="U15" s="203"/>
      <c r="X15" s="142"/>
      <c r="AB15" s="143" t="str">
        <f>AB10</f>
        <v>HIV +</v>
      </c>
      <c r="AC15" s="216">
        <f ca="1">IFERROR(C18-AC10,"")</f>
        <v>76.946673613212297</v>
      </c>
      <c r="AD15" s="216">
        <f ca="1">IFERROR(E18-AD10,"")</f>
        <v>76.12946021232051</v>
      </c>
      <c r="AE15" s="154"/>
      <c r="AF15" s="154"/>
      <c r="AG15" s="154"/>
      <c r="AH15" s="154"/>
      <c r="AI15" s="154"/>
      <c r="AJ15" s="154"/>
      <c r="AK15" s="154">
        <f t="shared" si="0"/>
        <v>0.21999999999999997</v>
      </c>
      <c r="AL15" s="143">
        <f ca="1"/>
        <v>4</v>
      </c>
      <c r="AM15" s="143">
        <f ca="1"/>
        <v>7</v>
      </c>
      <c r="AN15" s="143">
        <f ca="1"/>
        <v>0</v>
      </c>
      <c r="AO15" s="154">
        <f t="shared" si="1"/>
        <v>1.0999999999999999</v>
      </c>
    </row>
    <row r="16" spans="2:68" ht="14.25" customHeight="1" thickBot="1">
      <c r="B16" s="174"/>
      <c r="C16" s="355" t="s">
        <v>1</v>
      </c>
      <c r="D16" s="355" t="s">
        <v>1</v>
      </c>
      <c r="E16" s="355"/>
      <c r="F16" s="355"/>
      <c r="G16" s="175"/>
      <c r="H16" s="175"/>
      <c r="I16" s="355" t="str">
        <f>IF(C14&lt;&gt;"",CONCATENATE(C14," +"),"C+")</f>
        <v>Muslim +</v>
      </c>
      <c r="J16" s="355"/>
      <c r="K16" s="355"/>
      <c r="L16" s="355"/>
      <c r="M16" s="175"/>
      <c r="N16" s="355" t="str">
        <f>IF(C14&lt;&gt;"",CONCATENATE(C14," -"),"C-")</f>
        <v>Muslim -</v>
      </c>
      <c r="O16" s="355"/>
      <c r="P16" s="355"/>
      <c r="Q16" s="355"/>
      <c r="T16" s="142"/>
      <c r="X16" s="142"/>
      <c r="AB16" s="143" t="str">
        <f>AB11</f>
        <v>HIV -</v>
      </c>
      <c r="AC16" s="216">
        <f ca="1">IFERROR(C20-AC11,"")</f>
        <v>331.08876128055408</v>
      </c>
      <c r="AD16" s="216">
        <f ca="1">IFERROR(E20-AD11,"")</f>
        <v>75.305505643757712</v>
      </c>
      <c r="AK16" s="154">
        <f t="shared" si="0"/>
        <v>0.23999999999999996</v>
      </c>
      <c r="AL16" s="143">
        <f ca="1"/>
        <v>6</v>
      </c>
      <c r="AM16" s="143">
        <f ca="1"/>
        <v>6</v>
      </c>
      <c r="AN16" s="143">
        <f ca="1"/>
        <v>0</v>
      </c>
      <c r="AO16" s="154">
        <f t="shared" si="1"/>
        <v>1.2</v>
      </c>
    </row>
    <row r="17" spans="2:41" ht="13.5" thickBot="1">
      <c r="B17" s="177"/>
      <c r="C17" s="351" t="str">
        <f>IF(I13&lt;&gt;"",CONCATENATE(I13," +"),"E+")</f>
        <v>Circ +</v>
      </c>
      <c r="D17" s="351" t="s">
        <v>0</v>
      </c>
      <c r="E17" s="351" t="str">
        <f>IF(I13&lt;&gt;"",CONCATENATE(I13," -"),"E-")</f>
        <v>Circ -</v>
      </c>
      <c r="F17" s="351" t="s">
        <v>0</v>
      </c>
      <c r="G17" s="175"/>
      <c r="H17" s="175"/>
      <c r="I17" s="351" t="str">
        <f>C17</f>
        <v>Circ +</v>
      </c>
      <c r="J17" s="351" t="s">
        <v>0</v>
      </c>
      <c r="K17" s="351" t="str">
        <f>E17</f>
        <v>Circ -</v>
      </c>
      <c r="L17" s="351" t="s">
        <v>0</v>
      </c>
      <c r="M17" s="175"/>
      <c r="N17" s="351" t="str">
        <f>C17</f>
        <v>Circ +</v>
      </c>
      <c r="O17" s="351" t="s">
        <v>0</v>
      </c>
      <c r="P17" s="351" t="str">
        <f>E17</f>
        <v>Circ -</v>
      </c>
      <c r="Q17" s="351" t="s">
        <v>0</v>
      </c>
      <c r="V17" s="223"/>
      <c r="W17" s="143" t="s">
        <v>163</v>
      </c>
      <c r="X17" s="143">
        <f ca="1">SQRT(((X9*X11+Y9*Y11)/(2*(X9+Y9)^2))+(((X9*X12+X10*X11)+(Y9*Y12+Y10*Y11))/(2*(X9+Y9)*(X11+Y11)))*((X10*X12+Y10*Y12)/(2*(X10+Y10)^2)))</f>
        <v>0.1562982233286743</v>
      </c>
      <c r="AB17" s="143" t="str">
        <f>AB12</f>
        <v>Total</v>
      </c>
      <c r="AC17" s="216">
        <f ca="1">IFERROR(C22-AC12,"")</f>
        <v>408.03543489376636</v>
      </c>
      <c r="AD17" s="216">
        <f ca="1">IFERROR(E22-AD12,"")</f>
        <v>151.43496585607824</v>
      </c>
      <c r="AK17" s="154">
        <f t="shared" si="0"/>
        <v>0.25999999999999995</v>
      </c>
      <c r="AL17" s="143">
        <f ca="1"/>
        <v>6</v>
      </c>
      <c r="AM17" s="143">
        <f ca="1"/>
        <v>0</v>
      </c>
      <c r="AN17" s="143">
        <f ca="1"/>
        <v>0</v>
      </c>
      <c r="AO17" s="154">
        <f t="shared" si="1"/>
        <v>1.3</v>
      </c>
    </row>
    <row r="18" spans="2:41" ht="12.75" customHeight="1">
      <c r="B18" s="338" t="str">
        <f>IF(I14&lt;&gt;"",CONCATENATE(I14," +"),"D+")</f>
        <v>HIV +</v>
      </c>
      <c r="C18" s="348">
        <v>105</v>
      </c>
      <c r="D18" s="179" t="s">
        <v>15</v>
      </c>
      <c r="E18" s="350">
        <v>85</v>
      </c>
      <c r="F18" s="179" t="s">
        <v>17</v>
      </c>
      <c r="G18" s="224"/>
      <c r="H18" s="181"/>
      <c r="I18" s="341">
        <f ca="1">IF(AC10/C18=1,C18,IF(AC10/C18=0,0,_xlfn.BINOM.INV(C18,AC10/C18,RAND())))</f>
        <v>27</v>
      </c>
      <c r="J18" s="180" t="s">
        <v>21</v>
      </c>
      <c r="K18" s="341">
        <f ca="1">IF(AD10/E18=1,E18,IF(AD10/E18=0,0,_xlfn.BINOM.INV(E18,AD10/E18,RAND())))</f>
        <v>9</v>
      </c>
      <c r="L18" s="180" t="s">
        <v>24</v>
      </c>
      <c r="M18" s="181"/>
      <c r="N18" s="341">
        <f ca="1">IF(I18="","",C18-I18)</f>
        <v>78</v>
      </c>
      <c r="O18" s="180" t="s">
        <v>27</v>
      </c>
      <c r="P18" s="341">
        <f ca="1">IF(K18="","",E18-K18)</f>
        <v>76</v>
      </c>
      <c r="Q18" s="180" t="s">
        <v>30</v>
      </c>
      <c r="R18" s="192"/>
      <c r="S18" s="343" t="s">
        <v>96</v>
      </c>
      <c r="T18" s="343"/>
      <c r="U18" s="343"/>
      <c r="V18" s="343"/>
      <c r="W18" s="343"/>
      <c r="X18" s="343"/>
      <c r="Y18" s="343"/>
      <c r="Z18" s="154"/>
      <c r="AK18" s="154">
        <f t="shared" si="0"/>
        <v>0.27999999999999997</v>
      </c>
      <c r="AL18" s="143">
        <f ca="1"/>
        <v>9</v>
      </c>
      <c r="AM18" s="143">
        <f ca="1"/>
        <v>4</v>
      </c>
      <c r="AN18" s="143">
        <f ca="1"/>
        <v>0</v>
      </c>
      <c r="AO18" s="154">
        <f t="shared" si="1"/>
        <v>1.4000000000000001</v>
      </c>
    </row>
    <row r="19" spans="2:41" ht="5.25" customHeight="1">
      <c r="B19" s="338"/>
      <c r="C19" s="349"/>
      <c r="D19" s="183"/>
      <c r="E19" s="349"/>
      <c r="F19" s="179"/>
      <c r="G19" s="224"/>
      <c r="H19" s="181"/>
      <c r="I19" s="342"/>
      <c r="J19" s="180"/>
      <c r="K19" s="342"/>
      <c r="L19" s="180"/>
      <c r="M19" s="181"/>
      <c r="N19" s="342"/>
      <c r="O19" s="180"/>
      <c r="P19" s="342"/>
      <c r="Q19" s="180"/>
      <c r="R19" s="192"/>
      <c r="AK19" s="154">
        <f t="shared" si="0"/>
        <v>0.3</v>
      </c>
      <c r="AL19" s="143">
        <f ca="1"/>
        <v>6</v>
      </c>
      <c r="AM19" s="143">
        <f ca="1"/>
        <v>1</v>
      </c>
      <c r="AN19" s="143">
        <f ca="1"/>
        <v>0</v>
      </c>
      <c r="AO19" s="154">
        <f t="shared" si="1"/>
        <v>1.5000000000000002</v>
      </c>
    </row>
    <row r="20" spans="2:41" ht="12.75" customHeight="1">
      <c r="B20" s="338" t="str">
        <f>IF(I14&lt;&gt;"",CONCATENATE(I14," -"),"D-")</f>
        <v>HIV -</v>
      </c>
      <c r="C20" s="344">
        <v>527</v>
      </c>
      <c r="D20" s="184" t="s">
        <v>16</v>
      </c>
      <c r="E20" s="344">
        <v>93</v>
      </c>
      <c r="F20" s="184" t="s">
        <v>18</v>
      </c>
      <c r="G20" s="224"/>
      <c r="H20" s="181"/>
      <c r="I20" s="346">
        <f ca="1">IF(AC11/C20=1,C20,IF(AC11/C20=0,0,_xlfn.BINOM.INV(C20,AC11/C20,RAND())))</f>
        <v>181</v>
      </c>
      <c r="J20" s="185" t="s">
        <v>22</v>
      </c>
      <c r="K20" s="346">
        <f ca="1">IF(AD11/E20=1,E20,IF(AD11/E20=0,0,_xlfn.BINOM.INV(E20,AD11/E20,RAND())))</f>
        <v>20</v>
      </c>
      <c r="L20" s="185" t="s">
        <v>25</v>
      </c>
      <c r="M20" s="181"/>
      <c r="N20" s="346">
        <f ca="1">IF(I20="","",C20-I20)</f>
        <v>346</v>
      </c>
      <c r="O20" s="185" t="s">
        <v>28</v>
      </c>
      <c r="P20" s="346">
        <f ca="1">IF(K20="","",E20-K20)</f>
        <v>73</v>
      </c>
      <c r="Q20" s="185" t="s">
        <v>31</v>
      </c>
      <c r="R20" s="225"/>
      <c r="S20" s="337" t="s">
        <v>70</v>
      </c>
      <c r="T20" s="337"/>
      <c r="U20" s="337" t="s">
        <v>67</v>
      </c>
      <c r="V20" s="337"/>
      <c r="W20" s="337" t="s">
        <v>53</v>
      </c>
      <c r="X20" s="337"/>
      <c r="Y20" s="337"/>
      <c r="Z20" s="154"/>
      <c r="AB20" s="143" t="str">
        <f>AB37</f>
        <v>SMR(RR)</v>
      </c>
      <c r="AC20" s="143">
        <f ca="1">IFERROR((AC10+AC15)/((AC12*AD10/AD12)+(AC17*AD15/AD17)),"")</f>
        <v>0.37511582281790157</v>
      </c>
      <c r="AK20" s="154">
        <f t="shared" si="0"/>
        <v>0.32</v>
      </c>
      <c r="AL20" s="143">
        <f ca="1"/>
        <v>13</v>
      </c>
      <c r="AM20" s="143">
        <f ca="1"/>
        <v>0</v>
      </c>
      <c r="AN20" s="143">
        <f ca="1"/>
        <v>0</v>
      </c>
      <c r="AO20" s="154">
        <f t="shared" si="1"/>
        <v>1.6000000000000003</v>
      </c>
    </row>
    <row r="21" spans="2:41" ht="15" customHeight="1" thickBot="1">
      <c r="B21" s="338"/>
      <c r="C21" s="345"/>
      <c r="D21" s="186"/>
      <c r="E21" s="345"/>
      <c r="F21" s="186"/>
      <c r="G21" s="226"/>
      <c r="H21" s="181"/>
      <c r="I21" s="347"/>
      <c r="J21" s="187"/>
      <c r="K21" s="347"/>
      <c r="L21" s="187"/>
      <c r="M21" s="181"/>
      <c r="N21" s="347"/>
      <c r="O21" s="187"/>
      <c r="P21" s="347"/>
      <c r="Q21" s="187"/>
      <c r="R21" s="192"/>
      <c r="S21" s="170" t="s">
        <v>175</v>
      </c>
      <c r="T21" s="170" t="s">
        <v>176</v>
      </c>
      <c r="U21" s="170" t="s">
        <v>175</v>
      </c>
      <c r="V21" s="170" t="s">
        <v>176</v>
      </c>
      <c r="W21" s="170" t="str">
        <f>B8</f>
        <v>p1</v>
      </c>
      <c r="X21" s="170" t="str">
        <f>B9</f>
        <v>p0</v>
      </c>
      <c r="Y21" s="170" t="s">
        <v>63</v>
      </c>
      <c r="AB21" s="143" t="s">
        <v>165</v>
      </c>
      <c r="AC21" s="143">
        <f ca="1">IFERROR((AC10+AC15)/((AC11*AD10/AD11)+(AC16*AD15/AD16)),"")</f>
        <v>0.24253630415695768</v>
      </c>
      <c r="AK21" s="154">
        <f t="shared" si="0"/>
        <v>0.34</v>
      </c>
      <c r="AL21" s="143">
        <f ca="1"/>
        <v>7</v>
      </c>
      <c r="AM21" s="143">
        <f ca="1"/>
        <v>0</v>
      </c>
      <c r="AN21" s="143">
        <f ca="1"/>
        <v>0</v>
      </c>
      <c r="AO21" s="154">
        <f t="shared" si="1"/>
        <v>1.7000000000000004</v>
      </c>
    </row>
    <row r="22" spans="2:41" ht="13" customHeight="1">
      <c r="B22" s="338" t="s">
        <v>1</v>
      </c>
      <c r="C22" s="339">
        <f>SUM(C18:C21)</f>
        <v>632</v>
      </c>
      <c r="D22" s="180" t="s">
        <v>20</v>
      </c>
      <c r="E22" s="339">
        <f>SUM(E18:E21)</f>
        <v>178</v>
      </c>
      <c r="F22" s="180" t="s">
        <v>19</v>
      </c>
      <c r="G22" s="227"/>
      <c r="H22" s="181"/>
      <c r="I22" s="341">
        <f ca="1">SUM(I18:I21)</f>
        <v>208</v>
      </c>
      <c r="J22" s="180" t="s">
        <v>23</v>
      </c>
      <c r="K22" s="341">
        <f ca="1">SUM(K18:K21)</f>
        <v>29</v>
      </c>
      <c r="L22" s="180" t="s">
        <v>26</v>
      </c>
      <c r="M22" s="181"/>
      <c r="N22" s="341">
        <f ca="1">SUM(N18:N21)</f>
        <v>424</v>
      </c>
      <c r="O22" s="180" t="s">
        <v>29</v>
      </c>
      <c r="P22" s="341">
        <f ca="1">SUM(P18:P21)</f>
        <v>149</v>
      </c>
      <c r="Q22" s="180" t="s">
        <v>32</v>
      </c>
      <c r="S22" s="228">
        <f ca="1">IF(V7=FALSE,AC22,"")</f>
        <v>0.37511582281790162</v>
      </c>
      <c r="T22" s="228">
        <f ca="1">IF(V7=FALSE,AC23,"")</f>
        <v>0.23732759749497206</v>
      </c>
      <c r="U22" s="229">
        <f ca="1">IF(L27="","",EXP(LN(L27)-Y6*NORMINV(RAND(),0,1)))</f>
        <v>0.3495947395716571</v>
      </c>
      <c r="V22" s="170">
        <f ca="1">IF(L28="","",EXP(LN(L28)-V6*NORMINV(RAND(),0,1)))</f>
        <v>0.24486988489385769</v>
      </c>
      <c r="W22" s="230">
        <f ca="1">O27</f>
        <v>0.3543743118769519</v>
      </c>
      <c r="X22" s="230">
        <f ca="1">O28</f>
        <v>0.14924176485349314</v>
      </c>
      <c r="Y22" s="231">
        <f ca="1">O29</f>
        <v>0.6642217358361886</v>
      </c>
      <c r="Z22" s="232"/>
      <c r="AB22" s="50" t="s">
        <v>173</v>
      </c>
      <c r="AC22" s="53">
        <f ca="1">IFERROR((AC15*AD17/(AC17+AD17)+AC10*AD12/(AC12+AD12))/(AD15*AC17/(AC17+AD17)+AD10*AC12/(AC12+AD12)),"")</f>
        <v>0.37511582281790162</v>
      </c>
      <c r="AD22" s="154"/>
      <c r="AK22" s="154">
        <f t="shared" si="0"/>
        <v>0.36000000000000004</v>
      </c>
      <c r="AL22" s="143">
        <f ca="1"/>
        <v>13</v>
      </c>
      <c r="AM22" s="143">
        <f ca="1"/>
        <v>0</v>
      </c>
      <c r="AN22" s="143">
        <f ca="1"/>
        <v>0</v>
      </c>
      <c r="AO22" s="154">
        <f t="shared" si="1"/>
        <v>1.8000000000000005</v>
      </c>
    </row>
    <row r="23" spans="2:41" ht="13">
      <c r="B23" s="338"/>
      <c r="C23" s="340"/>
      <c r="D23" s="188"/>
      <c r="E23" s="340"/>
      <c r="F23" s="188"/>
      <c r="G23" s="175"/>
      <c r="H23" s="168"/>
      <c r="I23" s="342"/>
      <c r="J23" s="189"/>
      <c r="K23" s="342"/>
      <c r="L23" s="189"/>
      <c r="N23" s="342"/>
      <c r="O23" s="189"/>
      <c r="P23" s="342"/>
      <c r="Q23" s="189"/>
      <c r="S23" s="143">
        <v>0.38207633376479527</v>
      </c>
      <c r="T23" s="233">
        <v>0.23897545562940922</v>
      </c>
      <c r="U23" s="233">
        <v>0.37363004731678401</v>
      </c>
      <c r="V23" s="143">
        <v>0.2640881717253622</v>
      </c>
      <c r="W23" s="143">
        <v>0.45051504837072764</v>
      </c>
      <c r="X23" s="234">
        <v>0.23578029655746968</v>
      </c>
      <c r="Y23" s="234">
        <v>0.62085053676464552</v>
      </c>
      <c r="Z23" s="234"/>
      <c r="AB23" s="50" t="s">
        <v>174</v>
      </c>
      <c r="AC23" s="50">
        <f ca="1">IFERROR((AC15*AD16/(AC17+AD17)+AC10*AD11/(AC12+AD12))/(AD15*AC16/(AC17+AD17)+AD10*AC11/(AC12+AD12)),"")</f>
        <v>0.23732759749497206</v>
      </c>
      <c r="AK23" s="154">
        <f t="shared" si="0"/>
        <v>0.38000000000000006</v>
      </c>
      <c r="AL23" s="143">
        <f ca="1"/>
        <v>9</v>
      </c>
      <c r="AM23" s="143">
        <f ca="1"/>
        <v>0</v>
      </c>
      <c r="AN23" s="143">
        <f ca="1"/>
        <v>0</v>
      </c>
      <c r="AO23" s="154">
        <f t="shared" si="1"/>
        <v>1.9000000000000006</v>
      </c>
    </row>
    <row r="24" spans="2:41" ht="13">
      <c r="I24" s="331">
        <f ca="1">I22+K22</f>
        <v>237</v>
      </c>
      <c r="J24" s="332"/>
      <c r="K24" s="332"/>
      <c r="L24" s="332"/>
      <c r="N24" s="333">
        <f ca="1">N22+P22</f>
        <v>573</v>
      </c>
      <c r="O24" s="333"/>
      <c r="P24" s="333"/>
      <c r="Q24" s="333"/>
      <c r="S24" s="143">
        <v>0.36577504637030173</v>
      </c>
      <c r="T24" s="143">
        <v>0.2298813575276189</v>
      </c>
      <c r="U24" s="143">
        <v>0.29174909361924795</v>
      </c>
      <c r="V24" s="143">
        <v>0.20875837495411584</v>
      </c>
      <c r="W24" s="143">
        <v>0.21358178791306356</v>
      </c>
      <c r="X24" s="143">
        <v>8.3435695860730658E-2</v>
      </c>
      <c r="Y24" s="143">
        <v>0.63621208024827114</v>
      </c>
      <c r="AK24" s="154">
        <f t="shared" si="0"/>
        <v>0.40000000000000008</v>
      </c>
      <c r="AL24" s="143">
        <f ca="1"/>
        <v>4</v>
      </c>
      <c r="AM24" s="143">
        <f ca="1"/>
        <v>0</v>
      </c>
      <c r="AN24" s="143">
        <f ca="1"/>
        <v>0</v>
      </c>
      <c r="AO24" s="154">
        <f t="shared" si="1"/>
        <v>2.0000000000000004</v>
      </c>
    </row>
    <row r="25" spans="2:41" ht="13">
      <c r="B25" s="334" t="str">
        <f>IF(I13&lt;&gt;"",IF(I14&lt;&gt;"",CONCATENATE("Crude and Adjusted Measures of ",I13,"-",I14," Relationship"),"Crude and Adjusted Measures"),"Crude and Adjusted Measures")</f>
        <v>Crude and Adjusted Measures of Circ-HIV Relationship</v>
      </c>
      <c r="C25" s="334"/>
      <c r="D25" s="334"/>
      <c r="E25" s="334"/>
      <c r="F25" s="334"/>
      <c r="G25" s="334"/>
      <c r="H25" s="334"/>
      <c r="I25" s="334"/>
      <c r="J25" s="334"/>
      <c r="K25" s="334"/>
      <c r="L25" s="334"/>
      <c r="M25" s="334"/>
      <c r="N25" s="334"/>
      <c r="O25" s="334"/>
      <c r="P25" s="334"/>
      <c r="Q25" s="334"/>
      <c r="R25" s="156"/>
      <c r="S25" s="143">
        <v>0.37380786235389996</v>
      </c>
      <c r="T25" s="143">
        <v>0.23307633780220402</v>
      </c>
      <c r="U25" s="143">
        <v>0.3694088861680101</v>
      </c>
      <c r="V25" s="143">
        <v>0.26636079741077018</v>
      </c>
      <c r="W25" s="143">
        <v>0.3944458316901871</v>
      </c>
      <c r="X25" s="143">
        <v>0.22177637804045114</v>
      </c>
      <c r="Y25" s="143">
        <v>0.6316171371583702</v>
      </c>
      <c r="AK25" s="154">
        <f t="shared" si="0"/>
        <v>0.4200000000000001</v>
      </c>
      <c r="AL25" s="143">
        <f ca="1"/>
        <v>10</v>
      </c>
      <c r="AM25" s="143">
        <f ca="1"/>
        <v>0</v>
      </c>
      <c r="AN25" s="143">
        <f ca="1"/>
        <v>0</v>
      </c>
      <c r="AO25" s="154">
        <f t="shared" si="1"/>
        <v>2.1000000000000005</v>
      </c>
    </row>
    <row r="26" spans="2:41" ht="13.5" thickBot="1">
      <c r="B26" s="159" t="s">
        <v>6</v>
      </c>
      <c r="C26" s="335" t="s">
        <v>4</v>
      </c>
      <c r="D26" s="335"/>
      <c r="E26" s="335"/>
      <c r="F26" s="335"/>
      <c r="G26" s="156"/>
      <c r="I26" s="335" t="s">
        <v>177</v>
      </c>
      <c r="J26" s="335"/>
      <c r="K26" s="335"/>
      <c r="L26" s="335"/>
      <c r="N26" s="336" t="s">
        <v>64</v>
      </c>
      <c r="O26" s="336"/>
      <c r="P26" s="235"/>
      <c r="Q26" s="235"/>
      <c r="S26" s="143">
        <v>0.3851153912359167</v>
      </c>
      <c r="T26" s="143">
        <v>0.24345663493895681</v>
      </c>
      <c r="U26" s="143">
        <v>0.42641105205202345</v>
      </c>
      <c r="V26" s="143">
        <v>0.30023881708058786</v>
      </c>
      <c r="W26" s="143">
        <v>0.42498754416019269</v>
      </c>
      <c r="X26" s="143">
        <v>0.17049924623466695</v>
      </c>
      <c r="Y26" s="143">
        <v>0.64350471333396764</v>
      </c>
      <c r="AK26" s="154">
        <f t="shared" si="0"/>
        <v>0.44000000000000011</v>
      </c>
      <c r="AL26" s="143">
        <f ca="1"/>
        <v>2</v>
      </c>
      <c r="AM26" s="143">
        <f ca="1"/>
        <v>0</v>
      </c>
      <c r="AN26" s="143">
        <f ca="1"/>
        <v>0</v>
      </c>
      <c r="AO26" s="154">
        <f t="shared" si="1"/>
        <v>2.2000000000000006</v>
      </c>
    </row>
    <row r="27" spans="2:41" ht="15">
      <c r="B27" s="160" t="str">
        <f>IF(I13&lt;&gt;"",IF(I14&lt;&gt;"",CONCATENATE("RR (",I13,"-",I14,")"),"RR (ED)"),"RR (ED)")</f>
        <v>RR (Circ-HIV)</v>
      </c>
      <c r="C27" s="327" t="str">
        <f>CONCATENATE(ROUND((C18/C22)/(E18/E22),2)," (",ROUND(EXP(LN((C18/C22)/(E18/E22))-1.96*Y4),2)," - ",ROUND(EXP(LN((C18/C22)/(E18/E22))+1.96*Y4),2),")")</f>
        <v>0.35 (0.28 - 0.44)</v>
      </c>
      <c r="D27" s="327"/>
      <c r="E27" s="327"/>
      <c r="F27" s="327"/>
      <c r="G27" s="191"/>
      <c r="I27" s="160" t="str">
        <f>IF(I13&lt;&gt;"",IF(I14&lt;&gt;"",CONCATENATE("RR (",I13,"-",I14,")"),"RR (ED)"),"RR (ED)")</f>
        <v>RR (Circ-HIV)</v>
      </c>
      <c r="K27" s="168"/>
      <c r="L27" s="249">
        <f ca="1">IF(OR(I18="",I20="",K18="",K20="",N18="",N20="",P18="",P20="",I18&lt;=0,I20&lt;=0,K18&lt;=0,K20&lt;=0,N18&lt;=0,N20&lt;=0,P18&lt;=0,P20&lt;=0),"",(N18*P22/(N22+P22)+I18*K22/(I22+K22))/(P18*N22/(N22+P22)+K18*I22/(I22+K22)))</f>
        <v>0.36775742203215156</v>
      </c>
      <c r="N27" s="200" t="s">
        <v>60</v>
      </c>
      <c r="O27" s="192">
        <f ca="1">AF3</f>
        <v>0.3543743118769519</v>
      </c>
      <c r="Q27" s="236"/>
      <c r="S27" s="143">
        <v>0.37741858557252078</v>
      </c>
      <c r="T27" s="143">
        <v>0.2367104317904552</v>
      </c>
      <c r="U27" s="143">
        <v>0.38189980098768955</v>
      </c>
      <c r="V27" s="143">
        <v>0.31021026902210269</v>
      </c>
      <c r="W27" s="143">
        <v>0.35803373888926149</v>
      </c>
      <c r="X27" s="143">
        <v>0.16742730090190006</v>
      </c>
      <c r="Y27" s="143">
        <v>0.61623049092400461</v>
      </c>
      <c r="AK27" s="154">
        <f t="shared" si="0"/>
        <v>0.46000000000000013</v>
      </c>
      <c r="AL27" s="143">
        <f ca="1"/>
        <v>7</v>
      </c>
      <c r="AM27" s="143">
        <f ca="1"/>
        <v>0</v>
      </c>
      <c r="AN27" s="143">
        <f ca="1"/>
        <v>0</v>
      </c>
      <c r="AO27" s="154">
        <f t="shared" si="1"/>
        <v>2.3000000000000007</v>
      </c>
    </row>
    <row r="28" spans="2:41" ht="15">
      <c r="B28" s="160" t="str">
        <f>IF(I13&lt;&gt;"",IF(I14&lt;&gt;"",CONCATENATE("OR (",I13,"-",I14,")"),"OR (ED)"),"OR (ED)")</f>
        <v>OR (Circ-HIV)</v>
      </c>
      <c r="C28" s="327" t="str">
        <f>CONCATENATE(ROUND((C18/C20)/(E18/E20),2)," (",ROUND(EXP(LN((C18/C20)/(E18/E20))-1.96*V4),2)," - ",ROUND(EXP(LN((C18/C20)/(E18/E20))+1.96*V4),2),")")</f>
        <v>0.22 (0.15 - 0.31)</v>
      </c>
      <c r="D28" s="327"/>
      <c r="E28" s="327"/>
      <c r="F28" s="327"/>
      <c r="G28" s="191"/>
      <c r="I28" s="160" t="str">
        <f>IF(I13&lt;&gt;"",IF(I14&lt;&gt;"",CONCATENATE("OR (",I13,"-",I14,")"),"OR (ED)"),"OR (ED)")</f>
        <v>OR (Circ-HIV)</v>
      </c>
      <c r="K28" s="168"/>
      <c r="L28" s="249">
        <f ca="1">IF(OR(I18="",I20="",K18="",K20="",N18="",N20="",P18="",P20="",I18&lt;=0,I20&lt;=0,K18&lt;=0,K20&lt;=0,N18&lt;=0,N20&lt;=0,P18&lt;=0,P20&lt;=0),"",(N18*P20/(N22+P22)+I18*K20/(I22+K22))/(P18*N20/(N22+P22)+K18*I20/(I22+K22)))</f>
        <v>0.23150959819101594</v>
      </c>
      <c r="N28" s="200" t="s">
        <v>61</v>
      </c>
      <c r="O28" s="192">
        <f ca="1">AF4</f>
        <v>0.14924176485349314</v>
      </c>
      <c r="Q28" s="191"/>
      <c r="S28" s="143">
        <v>0.37683949480904122</v>
      </c>
      <c r="T28" s="143">
        <v>0.23650591023177095</v>
      </c>
      <c r="U28" s="143">
        <v>0.48701198533076606</v>
      </c>
      <c r="V28" s="143">
        <v>0.30569727901125016</v>
      </c>
      <c r="W28" s="143">
        <v>0.38266669336624659</v>
      </c>
      <c r="X28" s="143">
        <v>0.18380693310409424</v>
      </c>
      <c r="Y28" s="143">
        <v>0.63959276294684564</v>
      </c>
      <c r="AK28" s="154">
        <f t="shared" si="0"/>
        <v>0.48000000000000015</v>
      </c>
      <c r="AL28" s="143">
        <f ca="1"/>
        <v>1</v>
      </c>
      <c r="AM28" s="143">
        <f ca="1"/>
        <v>0</v>
      </c>
      <c r="AN28" s="143">
        <f ca="1"/>
        <v>0</v>
      </c>
      <c r="AO28" s="154">
        <f t="shared" si="1"/>
        <v>2.4000000000000008</v>
      </c>
    </row>
    <row r="29" spans="2:41" ht="15">
      <c r="C29" s="143"/>
      <c r="E29" s="143"/>
      <c r="F29" s="143"/>
      <c r="G29" s="143"/>
      <c r="I29" s="143"/>
      <c r="K29" s="143"/>
      <c r="N29" s="200" t="s">
        <v>62</v>
      </c>
      <c r="O29" s="237">
        <f ca="1">AF5</f>
        <v>0.6642217358361886</v>
      </c>
      <c r="S29" s="143">
        <v>0.37033124589479799</v>
      </c>
      <c r="T29" s="143">
        <v>0.23118818603081234</v>
      </c>
      <c r="U29" s="143">
        <v>0.28421757855774787</v>
      </c>
      <c r="V29" s="143">
        <v>0.22231269188016331</v>
      </c>
      <c r="W29" s="143">
        <v>0.36814559012244541</v>
      </c>
      <c r="X29" s="143">
        <v>0.20756761667739465</v>
      </c>
      <c r="Y29" s="143">
        <v>0.65040292996196858</v>
      </c>
      <c r="AK29" s="154">
        <f t="shared" si="0"/>
        <v>0.50000000000000011</v>
      </c>
      <c r="AL29" s="143">
        <f ca="1"/>
        <v>1</v>
      </c>
      <c r="AM29" s="143">
        <f ca="1"/>
        <v>0</v>
      </c>
      <c r="AN29" s="143">
        <f ca="1"/>
        <v>0</v>
      </c>
      <c r="AO29" s="154">
        <f t="shared" si="1"/>
        <v>2.5000000000000009</v>
      </c>
    </row>
    <row r="30" spans="2:41" ht="6.75" customHeight="1">
      <c r="B30" s="166"/>
      <c r="C30" s="166"/>
      <c r="D30" s="166"/>
      <c r="H30" s="166"/>
      <c r="I30" s="166"/>
      <c r="J30" s="166"/>
      <c r="M30" s="166">
        <f ca="1">IF(I18&gt;0,IF(I20&gt;0,IF(K18&gt;0,IF(K20&gt;0,IF(N18&gt;0,IF(N20&gt;0,IF(P18&gt;0,IF(P20&gt;0,0,1),1),1),1),1),1),1),1)</f>
        <v>0</v>
      </c>
      <c r="S30" s="143">
        <v>0.36248174006100503</v>
      </c>
      <c r="T30" s="143">
        <v>0.22611389222232511</v>
      </c>
      <c r="U30" s="143">
        <v>0.29788930754733001</v>
      </c>
      <c r="V30" s="143">
        <v>0.16577034005726479</v>
      </c>
      <c r="W30" s="143">
        <v>0.23149177415141334</v>
      </c>
      <c r="X30" s="143">
        <v>0.12943593805724987</v>
      </c>
      <c r="Y30" s="143">
        <v>0.62533266230325257</v>
      </c>
      <c r="AK30" s="154">
        <f t="shared" si="0"/>
        <v>0.52000000000000013</v>
      </c>
      <c r="AL30" s="143">
        <f ca="1"/>
        <v>0</v>
      </c>
      <c r="AM30" s="143">
        <f ca="1"/>
        <v>0</v>
      </c>
      <c r="AN30" s="143">
        <f ca="1"/>
        <v>0</v>
      </c>
      <c r="AO30" s="154">
        <f t="shared" si="1"/>
        <v>2.600000000000001</v>
      </c>
    </row>
    <row r="31" spans="2:41" ht="12" customHeight="1">
      <c r="B31" s="328" t="str">
        <f>CONCATENATE(IF(I13&lt;&gt;"",IF(I14&lt;&gt;"",CONCATENATE(I13,"-",I14," Relationship "),"Results "),"Results "),IF(C14&lt;&gt;"",CONCATENATE("Adjusted for ",C14),"Adjusted for Unmeasured Confounder"))</f>
        <v>Circ-HIV Relationship Adjusted for Muslim</v>
      </c>
      <c r="C31" s="328"/>
      <c r="D31" s="328"/>
      <c r="E31" s="328"/>
      <c r="F31" s="328"/>
      <c r="G31" s="328"/>
      <c r="H31" s="328"/>
      <c r="I31" s="328"/>
      <c r="J31" s="328"/>
      <c r="K31" s="328"/>
      <c r="L31" s="328"/>
      <c r="M31" s="328"/>
      <c r="N31" s="328"/>
      <c r="O31" s="328"/>
      <c r="P31" s="328"/>
      <c r="Q31" s="328"/>
      <c r="R31" s="156"/>
      <c r="S31" s="143">
        <v>0.38118473068711284</v>
      </c>
      <c r="T31" s="143">
        <v>0.23936847697075964</v>
      </c>
      <c r="U31" s="143">
        <v>0.43898919351178933</v>
      </c>
      <c r="V31" s="143">
        <v>0.2381166333479536</v>
      </c>
      <c r="W31" s="143">
        <v>0.40053948197653788</v>
      </c>
      <c r="X31" s="143">
        <v>0.18668243991397859</v>
      </c>
      <c r="Y31" s="143">
        <v>0.62077218450026084</v>
      </c>
      <c r="AK31" s="154">
        <f>AK30+0.02</f>
        <v>0.54000000000000015</v>
      </c>
      <c r="AL31" s="143">
        <f ca="1"/>
        <v>1</v>
      </c>
      <c r="AM31" s="143">
        <f ca="1"/>
        <v>0</v>
      </c>
      <c r="AN31" s="143">
        <f ca="1"/>
        <v>0</v>
      </c>
      <c r="AO31" s="154">
        <f t="shared" si="1"/>
        <v>2.7000000000000011</v>
      </c>
    </row>
    <row r="32" spans="2:41" ht="6.75" customHeight="1">
      <c r="B32" s="194"/>
      <c r="C32" s="194"/>
      <c r="D32" s="194"/>
      <c r="E32" s="194"/>
      <c r="F32" s="195"/>
      <c r="G32" s="195"/>
      <c r="H32" s="195"/>
      <c r="I32" s="195"/>
      <c r="J32" s="194"/>
      <c r="K32" s="194"/>
      <c r="L32" s="195"/>
      <c r="M32" s="195"/>
      <c r="N32" s="195"/>
      <c r="O32" s="194"/>
      <c r="P32" s="194"/>
      <c r="Q32" s="194"/>
      <c r="S32" s="143">
        <v>0.38555446093553353</v>
      </c>
      <c r="T32" s="143">
        <v>0.2436722711517138</v>
      </c>
      <c r="U32" s="143">
        <v>0.39376078534892556</v>
      </c>
      <c r="V32" s="143">
        <v>0.23992582229250295</v>
      </c>
      <c r="W32" s="143">
        <v>0.40258796024017873</v>
      </c>
      <c r="X32" s="143">
        <v>0.1564819318726296</v>
      </c>
      <c r="Y32" s="143">
        <v>0.62650914613599484</v>
      </c>
      <c r="AK32" s="154">
        <f t="shared" si="0"/>
        <v>0.56000000000000016</v>
      </c>
      <c r="AL32" s="143">
        <f ca="1"/>
        <v>0</v>
      </c>
      <c r="AM32" s="143">
        <f ca="1"/>
        <v>0</v>
      </c>
      <c r="AN32" s="143">
        <f ca="1"/>
        <v>0</v>
      </c>
      <c r="AO32" s="154">
        <f t="shared" si="1"/>
        <v>2.8000000000000012</v>
      </c>
    </row>
    <row r="33" spans="2:41" ht="13">
      <c r="B33" s="328" t="str">
        <f>CONCATENATE("RR Simulation Results (N=",COUNT(U23:U50008),")")</f>
        <v>RR Simulation Results (N=100)</v>
      </c>
      <c r="C33" s="328"/>
      <c r="D33" s="328"/>
      <c r="E33" s="328"/>
      <c r="F33" s="328"/>
      <c r="G33" s="328"/>
      <c r="I33" s="328" t="str">
        <f>CONCATENATE("OR Simulation Results (N=",COUNT(V23:V50008),")")</f>
        <v>OR Simulation Results (N=100)</v>
      </c>
      <c r="J33" s="328"/>
      <c r="K33" s="328"/>
      <c r="L33" s="328"/>
      <c r="M33" s="328"/>
      <c r="N33" s="328"/>
      <c r="O33" s="160"/>
      <c r="P33" s="329" t="s">
        <v>182</v>
      </c>
      <c r="Q33" s="195"/>
      <c r="S33" s="143">
        <v>0.37184990413297742</v>
      </c>
      <c r="T33" s="143">
        <v>0.23251196079706654</v>
      </c>
      <c r="U33" s="143">
        <v>0.36992744917092774</v>
      </c>
      <c r="V33" s="143">
        <v>0.23300591303928797</v>
      </c>
      <c r="W33" s="143">
        <v>0.35094647261844381</v>
      </c>
      <c r="X33" s="143">
        <v>0.18478217179922463</v>
      </c>
      <c r="Y33" s="143">
        <v>0.6385068296644737</v>
      </c>
      <c r="AK33" s="154">
        <f t="shared" si="0"/>
        <v>0.58000000000000018</v>
      </c>
      <c r="AL33" s="143">
        <f ca="1"/>
        <v>0</v>
      </c>
      <c r="AM33" s="143">
        <f ca="1"/>
        <v>0</v>
      </c>
      <c r="AN33" s="143">
        <f ca="1"/>
        <v>0</v>
      </c>
      <c r="AO33" s="154">
        <f t="shared" si="1"/>
        <v>2.9000000000000012</v>
      </c>
    </row>
    <row r="34" spans="2:41" ht="15">
      <c r="B34" s="193" t="s">
        <v>68</v>
      </c>
      <c r="C34" s="328" t="s">
        <v>69</v>
      </c>
      <c r="D34" s="328"/>
      <c r="E34" s="328"/>
      <c r="F34" s="328"/>
      <c r="G34" s="328"/>
      <c r="I34" s="193" t="s">
        <v>68</v>
      </c>
      <c r="J34" s="328" t="s">
        <v>69</v>
      </c>
      <c r="K34" s="328"/>
      <c r="L34" s="328"/>
      <c r="M34" s="328"/>
      <c r="N34" s="328"/>
      <c r="P34" s="330"/>
      <c r="Q34" s="195"/>
      <c r="S34" s="143">
        <v>0.37412790544252039</v>
      </c>
      <c r="T34" s="143">
        <v>0.23468693587848935</v>
      </c>
      <c r="U34" s="143">
        <v>0.36187964858641081</v>
      </c>
      <c r="V34" s="143">
        <v>0.18690488738618025</v>
      </c>
      <c r="W34" s="143">
        <v>0.34596151794020058</v>
      </c>
      <c r="X34" s="143">
        <v>0.16460482051187608</v>
      </c>
      <c r="Y34" s="143">
        <v>0.63676765983050332</v>
      </c>
      <c r="AK34" s="154">
        <f t="shared" si="0"/>
        <v>0.6000000000000002</v>
      </c>
      <c r="AL34" s="143">
        <f ca="1"/>
        <v>0</v>
      </c>
      <c r="AM34" s="143">
        <f ca="1"/>
        <v>0</v>
      </c>
      <c r="AN34" s="143">
        <f ca="1"/>
        <v>0</v>
      </c>
      <c r="AO34" s="154">
        <f t="shared" si="1"/>
        <v>3.0000000000000013</v>
      </c>
    </row>
    <row r="35" spans="2:41" ht="13">
      <c r="B35" s="160" t="s">
        <v>65</v>
      </c>
      <c r="C35" s="318" t="str">
        <f>C27</f>
        <v>0.35 (0.28 - 0.44)</v>
      </c>
      <c r="D35" s="319"/>
      <c r="E35" s="319"/>
      <c r="F35" s="319"/>
      <c r="G35" s="319"/>
      <c r="I35" s="160" t="s">
        <v>65</v>
      </c>
      <c r="J35" s="191"/>
      <c r="K35" s="318" t="str">
        <f>C28</f>
        <v>0.22 (0.15 - 0.31)</v>
      </c>
      <c r="L35" s="319"/>
      <c r="M35" s="319"/>
      <c r="N35" s="319"/>
      <c r="P35" s="322">
        <v>0</v>
      </c>
      <c r="Q35" s="195"/>
      <c r="S35" s="143">
        <v>0.37961760829767965</v>
      </c>
      <c r="T35" s="143">
        <v>0.23872490223075502</v>
      </c>
      <c r="U35" s="143">
        <v>0.40453923031500977</v>
      </c>
      <c r="V35" s="143">
        <v>0.30026731724054656</v>
      </c>
      <c r="W35" s="143">
        <v>0.417180628254749</v>
      </c>
      <c r="X35" s="143">
        <v>0.19592407185325156</v>
      </c>
      <c r="Y35" s="143">
        <v>0.6485473542900585</v>
      </c>
      <c r="AK35" s="154">
        <f t="shared" si="0"/>
        <v>0.62000000000000022</v>
      </c>
      <c r="AL35" s="143">
        <f ca="1"/>
        <v>0</v>
      </c>
      <c r="AM35" s="143">
        <f ca="1"/>
        <v>0</v>
      </c>
      <c r="AN35" s="143">
        <f ca="1"/>
        <v>0</v>
      </c>
      <c r="AO35" s="154">
        <f t="shared" si="1"/>
        <v>3.1000000000000014</v>
      </c>
    </row>
    <row r="36" spans="2:41" ht="13">
      <c r="B36" s="160" t="s">
        <v>66</v>
      </c>
      <c r="C36" s="320" t="str">
        <f>IF(COUNTA(S23:S400000)&gt;0,CONCATENATE(ROUND(PERCENTILE(S23:S50019,0.5),2)," (",ROUND(PERCENTILE(S23:S50019,0.025),2)," - ",ROUND(PERCENTILE(S23:S50019,0.975),2),")"),"")</f>
        <v>0.37 (0.36 - 0.39)</v>
      </c>
      <c r="D36" s="320"/>
      <c r="E36" s="320"/>
      <c r="F36" s="320"/>
      <c r="G36" s="320"/>
      <c r="I36" s="160" t="s">
        <v>66</v>
      </c>
      <c r="J36" s="191"/>
      <c r="K36" s="320" t="str">
        <f>IF(COUNTA(T23:T400000)&gt;0,CONCATENATE(ROUND(PERCENTILE(T23:T50019,0.5),2)," (",ROUND(PERCENTILE(T23:T50019,0.025),2)," - ",ROUND(PERCENTILE(T23:T50019,0.975),2),")"),"")</f>
        <v>0.23 (0.22 - 0.25)</v>
      </c>
      <c r="L36" s="320"/>
      <c r="M36" s="320"/>
      <c r="N36" s="320"/>
      <c r="P36" s="323"/>
      <c r="Q36" s="194"/>
      <c r="S36" s="143">
        <v>0.37405892659241169</v>
      </c>
      <c r="T36" s="143">
        <v>0.23295983467603512</v>
      </c>
      <c r="U36" s="143">
        <v>0.33070031720613691</v>
      </c>
      <c r="V36" s="143">
        <v>0.24031528203388175</v>
      </c>
      <c r="W36" s="143">
        <v>0.4051921614568913</v>
      </c>
      <c r="X36" s="143">
        <v>0.23291153457578717</v>
      </c>
      <c r="Y36" s="143">
        <v>0.62933562911739549</v>
      </c>
      <c r="AK36" s="154">
        <f t="shared" si="0"/>
        <v>0.64000000000000024</v>
      </c>
      <c r="AL36" s="143">
        <f ca="1"/>
        <v>0</v>
      </c>
      <c r="AM36" s="143">
        <f ca="1"/>
        <v>0</v>
      </c>
      <c r="AN36" s="143">
        <f ca="1"/>
        <v>0</v>
      </c>
      <c r="AO36" s="154">
        <f t="shared" si="1"/>
        <v>3.2000000000000015</v>
      </c>
    </row>
    <row r="37" spans="2:41" ht="13">
      <c r="B37" s="159" t="s">
        <v>67</v>
      </c>
      <c r="C37" s="321" t="str">
        <f>IF(COUNTA(U23:U400000)&gt;0,CONCATENATE(ROUND(PERCENTILE(U23:U50019,0.5),2)," (",ROUND(PERCENTILE(U23:U50019,0.025),2)," - ",ROUND(PERCENTILE(U23:U50019,0.975),2),")"),"")</f>
        <v>0.38 (0.29 - 0.47)</v>
      </c>
      <c r="D37" s="321"/>
      <c r="E37" s="321"/>
      <c r="F37" s="321"/>
      <c r="G37" s="321"/>
      <c r="I37" s="159" t="s">
        <v>67</v>
      </c>
      <c r="J37" s="196"/>
      <c r="K37" s="321" t="str">
        <f>IF(COUNTA(V23:V400000)&gt;0,CONCATENATE(ROUND(PERCENTILE(V23:V50019,0.5),2)," (",ROUND(PERCENTILE(V23:V50019,0.025),2)," - ",ROUND(PERCENTILE(V23:V50019,0.975),2),")"),"")</f>
        <v>0.23 (0.17 - 0.32)</v>
      </c>
      <c r="L37" s="321"/>
      <c r="M37" s="321"/>
      <c r="N37" s="321"/>
      <c r="O37" s="144"/>
      <c r="P37" s="324"/>
      <c r="Q37" s="238"/>
      <c r="R37" s="160"/>
      <c r="S37" s="143">
        <v>0.38084710662304672</v>
      </c>
      <c r="T37" s="143">
        <v>0.23991885867214127</v>
      </c>
      <c r="U37" s="143">
        <v>0.35716908638213568</v>
      </c>
      <c r="V37" s="143">
        <v>0.24234859389656249</v>
      </c>
      <c r="W37" s="143">
        <v>0.41131086604280231</v>
      </c>
      <c r="X37" s="143">
        <v>0.18212744795248026</v>
      </c>
      <c r="Y37" s="143">
        <v>0.64696178441768359</v>
      </c>
      <c r="AB37" s="143" t="s">
        <v>155</v>
      </c>
      <c r="AC37" s="143" t="e">
        <f>(AC25+AC33)/((AC27*AD25/AD27)+(AC35*AD33/AD35))</f>
        <v>#DIV/0!</v>
      </c>
      <c r="AK37" s="154">
        <f t="shared" si="0"/>
        <v>0.66000000000000025</v>
      </c>
      <c r="AL37" s="143">
        <f ca="1"/>
        <v>0</v>
      </c>
      <c r="AM37" s="143">
        <f ca="1"/>
        <v>0</v>
      </c>
      <c r="AN37" s="143">
        <f ca="1"/>
        <v>0</v>
      </c>
      <c r="AO37" s="154">
        <f t="shared" si="1"/>
        <v>3.3000000000000016</v>
      </c>
    </row>
    <row r="38" spans="2:41" ht="13">
      <c r="B38" s="194"/>
      <c r="C38" s="194"/>
      <c r="D38" s="194"/>
      <c r="E38" s="194"/>
      <c r="F38" s="194"/>
      <c r="G38" s="194"/>
      <c r="H38" s="194"/>
      <c r="I38" s="194"/>
      <c r="J38" s="195"/>
      <c r="K38" s="239"/>
      <c r="L38" s="194"/>
      <c r="M38" s="239"/>
      <c r="N38" s="240"/>
      <c r="O38" s="239"/>
      <c r="P38" s="194"/>
      <c r="Q38" s="194"/>
      <c r="S38" s="143">
        <v>0.36518400416814517</v>
      </c>
      <c r="T38" s="143">
        <v>0.2279928354381397</v>
      </c>
      <c r="U38" s="143">
        <v>0.33209028893802384</v>
      </c>
      <c r="V38" s="143">
        <v>0.24718964140511923</v>
      </c>
      <c r="W38" s="143">
        <v>0.26523741698732833</v>
      </c>
      <c r="X38" s="143">
        <v>0.14392340718332969</v>
      </c>
      <c r="Y38" s="143">
        <v>0.63090675221384618</v>
      </c>
      <c r="AK38" s="154">
        <f t="shared" si="0"/>
        <v>0.68000000000000027</v>
      </c>
      <c r="AL38" s="143">
        <f ca="1"/>
        <v>0</v>
      </c>
      <c r="AM38" s="143">
        <f ca="1"/>
        <v>0</v>
      </c>
      <c r="AN38" s="143">
        <f ca="1"/>
        <v>0</v>
      </c>
      <c r="AO38" s="154">
        <f t="shared" si="1"/>
        <v>3.4000000000000017</v>
      </c>
    </row>
    <row r="39" spans="2:41" ht="13">
      <c r="H39" s="241">
        <f ca="1">O29</f>
        <v>0.6642217358361886</v>
      </c>
      <c r="I39" s="194"/>
      <c r="J39" s="194"/>
      <c r="K39" s="194"/>
      <c r="L39" s="194"/>
      <c r="M39" s="194"/>
      <c r="N39" s="194"/>
      <c r="O39" s="194"/>
      <c r="P39" s="194"/>
      <c r="Q39" s="194"/>
      <c r="R39" s="200"/>
      <c r="S39" s="143">
        <v>0.37285110644103081</v>
      </c>
      <c r="T39" s="143">
        <v>0.23562516373160688</v>
      </c>
      <c r="U39" s="143">
        <v>0.29446114584844102</v>
      </c>
      <c r="V39" s="143">
        <v>0.31116201419591311</v>
      </c>
      <c r="W39" s="143">
        <v>0.23498744027353624</v>
      </c>
      <c r="X39" s="143">
        <v>6.4005162704531993E-2</v>
      </c>
      <c r="Y39" s="143">
        <v>0.61840627814467641</v>
      </c>
      <c r="AK39" s="154">
        <f t="shared" si="0"/>
        <v>0.70000000000000029</v>
      </c>
      <c r="AL39" s="143">
        <f ca="1"/>
        <v>0</v>
      </c>
      <c r="AM39" s="143">
        <f ca="1"/>
        <v>0</v>
      </c>
      <c r="AN39" s="143">
        <f ca="1"/>
        <v>0</v>
      </c>
      <c r="AO39" s="154">
        <f t="shared" si="1"/>
        <v>3.5000000000000018</v>
      </c>
    </row>
    <row r="40" spans="2:41">
      <c r="B40" s="242"/>
      <c r="C40" s="242"/>
      <c r="D40" s="242"/>
      <c r="E40" s="166"/>
      <c r="F40" s="243"/>
      <c r="G40" s="243"/>
      <c r="H40" s="241"/>
      <c r="I40" s="194"/>
      <c r="J40" s="194"/>
      <c r="K40" s="194"/>
      <c r="L40" s="194"/>
      <c r="M40" s="194"/>
      <c r="N40" s="194"/>
      <c r="O40" s="194"/>
      <c r="P40" s="194"/>
      <c r="Q40" s="194"/>
      <c r="R40" s="244"/>
      <c r="S40" s="143">
        <v>0.38016564162791144</v>
      </c>
      <c r="T40" s="143">
        <v>0.23888706379102237</v>
      </c>
      <c r="U40" s="143">
        <v>0.38860697342901013</v>
      </c>
      <c r="V40" s="143">
        <v>0.32566500222019051</v>
      </c>
      <c r="W40" s="143">
        <v>0.39485523979436077</v>
      </c>
      <c r="X40" s="143">
        <v>0.1818802901055705</v>
      </c>
      <c r="Y40" s="143">
        <v>0.6285849185771939</v>
      </c>
      <c r="AK40" s="154">
        <f t="shared" si="0"/>
        <v>0.72000000000000031</v>
      </c>
      <c r="AL40" s="143">
        <f ca="1"/>
        <v>0</v>
      </c>
      <c r="AM40" s="143">
        <f ca="1"/>
        <v>0</v>
      </c>
      <c r="AN40" s="143">
        <f ca="1"/>
        <v>0</v>
      </c>
      <c r="AO40" s="154">
        <f t="shared" si="1"/>
        <v>3.6000000000000019</v>
      </c>
    </row>
    <row r="41" spans="2:41" ht="38.25" customHeight="1">
      <c r="B41" s="242"/>
      <c r="C41" s="242"/>
      <c r="D41" s="242"/>
      <c r="E41" s="166"/>
      <c r="F41" s="243"/>
      <c r="G41" s="243"/>
      <c r="H41" s="241"/>
      <c r="I41" s="194"/>
      <c r="J41" s="194"/>
      <c r="K41" s="194"/>
      <c r="L41" s="194"/>
      <c r="M41" s="194"/>
      <c r="N41" s="194"/>
      <c r="O41" s="194"/>
      <c r="P41" s="194"/>
      <c r="Q41" s="194"/>
      <c r="R41" s="244"/>
      <c r="S41" s="143">
        <v>0.38062841131464076</v>
      </c>
      <c r="T41" s="143">
        <v>0.23837100960978277</v>
      </c>
      <c r="U41" s="143">
        <v>0.33348896062822553</v>
      </c>
      <c r="V41" s="143">
        <v>0.21943097211277005</v>
      </c>
      <c r="W41" s="143">
        <v>0.41684825837556116</v>
      </c>
      <c r="X41" s="143">
        <v>0.20901893345543066</v>
      </c>
      <c r="Y41" s="143">
        <v>0.61936252047415763</v>
      </c>
      <c r="AK41" s="154">
        <f t="shared" si="0"/>
        <v>0.74000000000000032</v>
      </c>
      <c r="AL41" s="143">
        <f ca="1"/>
        <v>0</v>
      </c>
      <c r="AM41" s="143">
        <f ca="1"/>
        <v>0</v>
      </c>
      <c r="AN41" s="143">
        <f ca="1"/>
        <v>0</v>
      </c>
      <c r="AO41" s="154">
        <f t="shared" si="1"/>
        <v>3.700000000000002</v>
      </c>
    </row>
    <row r="42" spans="2:41">
      <c r="B42" s="242"/>
      <c r="C42" s="242"/>
      <c r="D42" s="242"/>
      <c r="E42" s="166"/>
      <c r="F42" s="243"/>
      <c r="G42" s="243"/>
      <c r="H42" s="241"/>
      <c r="I42" s="194"/>
      <c r="J42" s="194"/>
      <c r="K42" s="194"/>
      <c r="L42" s="194"/>
      <c r="M42" s="194"/>
      <c r="N42" s="194"/>
      <c r="O42" s="194"/>
      <c r="P42" s="194"/>
      <c r="Q42" s="194"/>
      <c r="S42" s="143">
        <v>0.37859690290875181</v>
      </c>
      <c r="T42" s="143">
        <v>0.2390549454992347</v>
      </c>
      <c r="U42" s="143">
        <v>0.32137029435633591</v>
      </c>
      <c r="V42" s="143">
        <v>0.2245560050431773</v>
      </c>
      <c r="W42" s="143">
        <v>0.31912019288451338</v>
      </c>
      <c r="X42" s="143">
        <v>0.11322501479577782</v>
      </c>
      <c r="Y42" s="143">
        <v>0.62319062178718476</v>
      </c>
      <c r="AK42" s="154">
        <f t="shared" si="0"/>
        <v>0.76000000000000034</v>
      </c>
      <c r="AL42" s="143">
        <f ca="1"/>
        <v>0</v>
      </c>
      <c r="AM42" s="143">
        <f ca="1"/>
        <v>0</v>
      </c>
      <c r="AN42" s="143">
        <f ca="1"/>
        <v>0</v>
      </c>
      <c r="AO42" s="154">
        <f t="shared" si="1"/>
        <v>3.800000000000002</v>
      </c>
    </row>
    <row r="43" spans="2:41" ht="13">
      <c r="B43" s="242"/>
      <c r="C43" s="242"/>
      <c r="D43" s="242"/>
      <c r="E43" s="166"/>
      <c r="F43" s="243"/>
      <c r="G43" s="243"/>
      <c r="H43" s="241"/>
      <c r="I43" s="194"/>
      <c r="J43" s="194"/>
      <c r="K43" s="194"/>
      <c r="L43" s="194"/>
      <c r="M43" s="194"/>
      <c r="N43" s="194"/>
      <c r="O43" s="194"/>
      <c r="P43" s="194"/>
      <c r="Q43" s="194"/>
      <c r="R43" s="160"/>
      <c r="S43" s="143">
        <v>0.37132695139401284</v>
      </c>
      <c r="T43" s="143">
        <v>0.23317893984658133</v>
      </c>
      <c r="U43" s="143">
        <v>0.38176989202850253</v>
      </c>
      <c r="V43" s="143">
        <v>0.17948492442993197</v>
      </c>
      <c r="W43" s="143">
        <v>0.2716720236205768</v>
      </c>
      <c r="X43" s="143">
        <v>0.11503744436222811</v>
      </c>
      <c r="Y43" s="143">
        <v>0.61529047763603617</v>
      </c>
      <c r="AK43" s="154">
        <f t="shared" si="0"/>
        <v>0.78000000000000036</v>
      </c>
      <c r="AL43" s="143">
        <f ca="1"/>
        <v>0</v>
      </c>
      <c r="AM43" s="143">
        <f ca="1"/>
        <v>0</v>
      </c>
      <c r="AN43" s="143">
        <f ca="1"/>
        <v>0</v>
      </c>
      <c r="AO43" s="154">
        <f t="shared" si="1"/>
        <v>3.9000000000000021</v>
      </c>
    </row>
    <row r="44" spans="2:41">
      <c r="B44" s="242"/>
      <c r="C44" s="242"/>
      <c r="D44" s="242"/>
      <c r="E44" s="166"/>
      <c r="F44" s="243"/>
      <c r="G44" s="243"/>
      <c r="H44" s="241"/>
      <c r="I44" s="194"/>
      <c r="J44" s="194"/>
      <c r="K44" s="194"/>
      <c r="L44" s="194"/>
      <c r="M44" s="194"/>
      <c r="N44" s="194"/>
      <c r="O44" s="194"/>
      <c r="P44" s="194"/>
      <c r="Q44" s="194"/>
      <c r="S44" s="143">
        <v>0.36426259554901202</v>
      </c>
      <c r="T44" s="143">
        <v>0.22735457825644961</v>
      </c>
      <c r="U44" s="143">
        <v>0.31889261007081415</v>
      </c>
      <c r="V44" s="143">
        <v>0.20426776005406086</v>
      </c>
      <c r="W44" s="143">
        <v>0.28101148743558119</v>
      </c>
      <c r="X44" s="143">
        <v>0.15964785077375079</v>
      </c>
      <c r="Y44" s="143">
        <v>0.65082971252725819</v>
      </c>
      <c r="AK44" s="154">
        <f t="shared" si="0"/>
        <v>0.80000000000000038</v>
      </c>
      <c r="AL44" s="143">
        <f ca="1"/>
        <v>0</v>
      </c>
      <c r="AM44" s="143">
        <f ca="1"/>
        <v>0</v>
      </c>
      <c r="AN44" s="143">
        <f ca="1"/>
        <v>0</v>
      </c>
      <c r="AO44" s="154">
        <f t="shared" si="1"/>
        <v>4.0000000000000018</v>
      </c>
    </row>
    <row r="45" spans="2:41" ht="13">
      <c r="B45" s="242"/>
      <c r="C45" s="242"/>
      <c r="D45" s="242"/>
      <c r="E45" s="166"/>
      <c r="F45" s="243"/>
      <c r="G45" s="243"/>
      <c r="H45" s="241"/>
      <c r="I45" s="194"/>
      <c r="J45" s="194"/>
      <c r="K45" s="194"/>
      <c r="L45" s="194"/>
      <c r="M45" s="194"/>
      <c r="N45" s="194"/>
      <c r="O45" s="194"/>
      <c r="P45" s="194"/>
      <c r="Q45" s="194"/>
      <c r="R45" s="200"/>
      <c r="S45" s="143">
        <v>0.3875717501927966</v>
      </c>
      <c r="T45" s="143">
        <v>0.24537015684961219</v>
      </c>
      <c r="U45" s="143">
        <v>0.38038682788738643</v>
      </c>
      <c r="V45" s="143">
        <v>0.21299975028111628</v>
      </c>
      <c r="W45" s="143">
        <v>0.41019992420591289</v>
      </c>
      <c r="X45" s="143">
        <v>0.15203589460569439</v>
      </c>
      <c r="Y45" s="143">
        <v>0.62618520465084659</v>
      </c>
      <c r="AK45" s="154">
        <f t="shared" si="0"/>
        <v>0.8200000000000004</v>
      </c>
      <c r="AL45" s="143">
        <f ca="1"/>
        <v>0</v>
      </c>
      <c r="AM45" s="143">
        <f ca="1"/>
        <v>1</v>
      </c>
      <c r="AN45" s="143">
        <f ca="1"/>
        <v>0</v>
      </c>
      <c r="AO45" s="154">
        <f t="shared" si="1"/>
        <v>4.1000000000000014</v>
      </c>
    </row>
    <row r="46" spans="2:41">
      <c r="B46" s="245"/>
      <c r="C46" s="245"/>
      <c r="D46" s="245"/>
      <c r="E46" s="169"/>
      <c r="F46" s="246"/>
      <c r="G46" s="246"/>
      <c r="H46" s="247"/>
      <c r="I46" s="248"/>
      <c r="J46" s="248"/>
      <c r="K46" s="248"/>
      <c r="L46" s="248"/>
      <c r="M46" s="248"/>
      <c r="N46" s="248"/>
      <c r="O46" s="248"/>
      <c r="P46" s="248"/>
      <c r="Q46" s="248"/>
      <c r="S46" s="143">
        <v>0.38691962546324776</v>
      </c>
      <c r="T46" s="143">
        <v>0.24461217937793059</v>
      </c>
      <c r="U46" s="143">
        <v>0.37611921853022062</v>
      </c>
      <c r="V46" s="143">
        <v>0.26176342805869629</v>
      </c>
      <c r="W46" s="143">
        <v>0.45929943022421671</v>
      </c>
      <c r="X46" s="143">
        <v>0.19252760057755913</v>
      </c>
      <c r="Y46" s="143">
        <v>0.64774706424360606</v>
      </c>
      <c r="AK46" s="154">
        <f>AK45+0.02</f>
        <v>0.84000000000000041</v>
      </c>
      <c r="AL46" s="143">
        <f ca="1"/>
        <v>0</v>
      </c>
      <c r="AM46" s="143">
        <f ca="1"/>
        <v>0</v>
      </c>
      <c r="AN46" s="143">
        <f ca="1"/>
        <v>0</v>
      </c>
      <c r="AO46" s="154">
        <f t="shared" si="1"/>
        <v>4.2000000000000011</v>
      </c>
    </row>
    <row r="47" spans="2:41" ht="13">
      <c r="B47" s="325" t="s">
        <v>9</v>
      </c>
      <c r="C47" s="325"/>
      <c r="D47" s="325"/>
      <c r="E47" s="325"/>
      <c r="F47" s="325"/>
      <c r="G47" s="325"/>
      <c r="H47" s="325"/>
      <c r="I47" s="325"/>
      <c r="J47" s="325"/>
      <c r="K47" s="325"/>
      <c r="L47" s="325"/>
      <c r="M47" s="325"/>
      <c r="N47" s="325"/>
      <c r="O47" s="325"/>
      <c r="P47" s="325"/>
      <c r="Q47" s="325"/>
      <c r="S47" s="143">
        <v>0.37700539018205814</v>
      </c>
      <c r="T47" s="143">
        <v>0.23642502319637299</v>
      </c>
      <c r="U47" s="143">
        <v>0.44363040801851311</v>
      </c>
      <c r="V47" s="143">
        <v>0.33763258704107346</v>
      </c>
      <c r="W47" s="143">
        <v>0.36728141188339991</v>
      </c>
      <c r="X47" s="143">
        <v>0.17520167687684318</v>
      </c>
      <c r="Y47" s="143">
        <v>0.62469856660780942</v>
      </c>
      <c r="AK47" s="154">
        <f t="shared" si="0"/>
        <v>0.86000000000000043</v>
      </c>
      <c r="AL47" s="143">
        <f ca="1"/>
        <v>0</v>
      </c>
      <c r="AM47" s="143">
        <f ca="1"/>
        <v>0</v>
      </c>
      <c r="AN47" s="143">
        <f ca="1"/>
        <v>0</v>
      </c>
      <c r="AO47" s="154">
        <f t="shared" si="1"/>
        <v>4.3000000000000007</v>
      </c>
    </row>
    <row r="48" spans="2:41" ht="13">
      <c r="B48" s="326"/>
      <c r="C48" s="326"/>
      <c r="D48" s="326"/>
      <c r="E48" s="326"/>
      <c r="F48" s="326"/>
      <c r="G48" s="326"/>
      <c r="H48" s="326"/>
      <c r="I48" s="326"/>
      <c r="J48" s="326"/>
      <c r="K48" s="326"/>
      <c r="L48" s="326"/>
      <c r="M48" s="326"/>
      <c r="N48" s="326"/>
      <c r="O48" s="326"/>
      <c r="P48" s="326"/>
      <c r="Q48" s="326"/>
      <c r="S48" s="143">
        <v>0.36073162361857491</v>
      </c>
      <c r="T48" s="143">
        <v>0.22539833912912488</v>
      </c>
      <c r="U48" s="143">
        <v>0.38061268554857203</v>
      </c>
      <c r="V48" s="143">
        <v>0.21290257182582631</v>
      </c>
      <c r="W48" s="143">
        <v>0.20865385939474479</v>
      </c>
      <c r="X48" s="143">
        <v>0.11338999512435073</v>
      </c>
      <c r="Y48" s="143">
        <v>0.64217641137543668</v>
      </c>
      <c r="AK48" s="154">
        <f t="shared" si="0"/>
        <v>0.88000000000000045</v>
      </c>
      <c r="AL48" s="143">
        <f ca="1"/>
        <v>0</v>
      </c>
      <c r="AM48" s="143">
        <f ca="1"/>
        <v>0</v>
      </c>
      <c r="AN48" s="143">
        <f ca="1"/>
        <v>0</v>
      </c>
      <c r="AO48" s="154">
        <f t="shared" si="1"/>
        <v>4.4000000000000004</v>
      </c>
    </row>
    <row r="49" spans="2:41">
      <c r="B49" s="317"/>
      <c r="C49" s="317"/>
      <c r="D49" s="317"/>
      <c r="E49" s="317"/>
      <c r="F49" s="317"/>
      <c r="G49" s="317"/>
      <c r="H49" s="317"/>
      <c r="I49" s="317"/>
      <c r="J49" s="317"/>
      <c r="K49" s="317"/>
      <c r="L49" s="317"/>
      <c r="M49" s="317"/>
      <c r="N49" s="317"/>
      <c r="O49" s="317"/>
      <c r="P49" s="317"/>
      <c r="Q49" s="317"/>
      <c r="S49" s="143">
        <v>0.36832104385451198</v>
      </c>
      <c r="T49" s="143">
        <v>0.22831129846657647</v>
      </c>
      <c r="U49" s="143">
        <v>0.35562886949862543</v>
      </c>
      <c r="V49" s="143">
        <v>0.19772987008675774</v>
      </c>
      <c r="W49" s="143">
        <v>0.41534219895959035</v>
      </c>
      <c r="X49" s="143">
        <v>0.27289667303413367</v>
      </c>
      <c r="Y49" s="143">
        <v>0.64838216168984597</v>
      </c>
      <c r="AK49" s="154">
        <f t="shared" si="0"/>
        <v>0.90000000000000047</v>
      </c>
      <c r="AL49" s="143">
        <f ca="1"/>
        <v>0</v>
      </c>
      <c r="AM49" s="143">
        <f ca="1"/>
        <v>0</v>
      </c>
      <c r="AN49" s="143">
        <f ca="1"/>
        <v>0</v>
      </c>
      <c r="AO49" s="154">
        <f t="shared" si="1"/>
        <v>4.5</v>
      </c>
    </row>
    <row r="50" spans="2:41">
      <c r="B50" s="317"/>
      <c r="C50" s="317"/>
      <c r="D50" s="317"/>
      <c r="E50" s="317"/>
      <c r="F50" s="317"/>
      <c r="G50" s="317"/>
      <c r="H50" s="317"/>
      <c r="I50" s="317"/>
      <c r="J50" s="317"/>
      <c r="K50" s="317"/>
      <c r="L50" s="317"/>
      <c r="M50" s="317"/>
      <c r="N50" s="317"/>
      <c r="O50" s="317"/>
      <c r="P50" s="317"/>
      <c r="Q50" s="317"/>
      <c r="S50" s="143">
        <v>0.36663686631948383</v>
      </c>
      <c r="T50" s="143">
        <v>0.22846436750122631</v>
      </c>
      <c r="U50" s="143">
        <v>0.42231001572584803</v>
      </c>
      <c r="V50" s="143">
        <v>0.18273542866864162</v>
      </c>
      <c r="W50" s="143">
        <v>0.29947926988297902</v>
      </c>
      <c r="X50" s="143">
        <v>0.17074528523138277</v>
      </c>
      <c r="Y50" s="143">
        <v>0.62850186351395398</v>
      </c>
      <c r="AK50" s="154">
        <f t="shared" si="0"/>
        <v>0.92000000000000048</v>
      </c>
      <c r="AL50" s="143">
        <f ca="1"/>
        <v>0</v>
      </c>
      <c r="AM50" s="143">
        <f ca="1"/>
        <v>0</v>
      </c>
      <c r="AN50" s="143">
        <f ca="1"/>
        <v>0</v>
      </c>
      <c r="AO50" s="154">
        <f t="shared" si="1"/>
        <v>4.5999999999999996</v>
      </c>
    </row>
    <row r="51" spans="2:41">
      <c r="B51" s="317"/>
      <c r="C51" s="317"/>
      <c r="D51" s="317"/>
      <c r="E51" s="317"/>
      <c r="F51" s="317"/>
      <c r="G51" s="317"/>
      <c r="H51" s="317"/>
      <c r="I51" s="317"/>
      <c r="J51" s="317"/>
      <c r="K51" s="317"/>
      <c r="L51" s="317"/>
      <c r="M51" s="317"/>
      <c r="N51" s="317"/>
      <c r="O51" s="317"/>
      <c r="P51" s="317"/>
      <c r="Q51" s="317"/>
      <c r="S51" s="143">
        <v>0.37819441842825197</v>
      </c>
      <c r="T51" s="143">
        <v>0.23787084750688048</v>
      </c>
      <c r="U51" s="143">
        <v>0.42012928983610193</v>
      </c>
      <c r="V51" s="143">
        <v>0.24856994322882539</v>
      </c>
      <c r="W51" s="143">
        <v>0.41351108344072052</v>
      </c>
      <c r="X51" s="143">
        <v>0.19494059474568504</v>
      </c>
      <c r="Y51" s="143">
        <v>0.65811133113276843</v>
      </c>
      <c r="AK51" s="154">
        <f t="shared" si="0"/>
        <v>0.9400000000000005</v>
      </c>
      <c r="AL51" s="143">
        <f ca="1"/>
        <v>0</v>
      </c>
      <c r="AM51" s="143">
        <f ca="1"/>
        <v>0</v>
      </c>
      <c r="AN51" s="143">
        <f ca="1"/>
        <v>0</v>
      </c>
      <c r="AO51" s="154">
        <f t="shared" si="1"/>
        <v>4.6999999999999993</v>
      </c>
    </row>
    <row r="52" spans="2:41">
      <c r="B52" s="127" t="s">
        <v>201</v>
      </c>
      <c r="S52" s="143">
        <v>0.3657058518037738</v>
      </c>
      <c r="T52" s="143">
        <v>0.22845351454299212</v>
      </c>
      <c r="U52" s="143">
        <v>0.38562682812030624</v>
      </c>
      <c r="V52" s="143">
        <v>0.26241765207740392</v>
      </c>
      <c r="W52" s="143">
        <v>0.31312325832057708</v>
      </c>
      <c r="X52" s="143">
        <v>0.17694309023119648</v>
      </c>
      <c r="Y52" s="143">
        <v>0.66400769112119051</v>
      </c>
      <c r="AK52" s="154">
        <f t="shared" si="0"/>
        <v>0.96000000000000052</v>
      </c>
      <c r="AL52" s="143">
        <f ca="1"/>
        <v>0</v>
      </c>
      <c r="AM52" s="143">
        <f ca="1"/>
        <v>0</v>
      </c>
      <c r="AN52" s="143">
        <f ca="1"/>
        <v>0</v>
      </c>
      <c r="AO52" s="154">
        <f t="shared" si="1"/>
        <v>4.7999999999999989</v>
      </c>
    </row>
    <row r="53" spans="2:41">
      <c r="S53" s="143">
        <v>0.37829392208495832</v>
      </c>
      <c r="T53" s="143">
        <v>0.23791394043242201</v>
      </c>
      <c r="U53" s="143">
        <v>0.46799463400661445</v>
      </c>
      <c r="V53" s="143">
        <v>0.17606458788627125</v>
      </c>
      <c r="W53" s="143">
        <v>0.36474181829392072</v>
      </c>
      <c r="X53" s="143">
        <v>0.16039080693635771</v>
      </c>
      <c r="Y53" s="143">
        <v>0.63032572619578831</v>
      </c>
      <c r="AK53" s="154">
        <f t="shared" si="0"/>
        <v>0.98000000000000054</v>
      </c>
      <c r="AL53" s="143">
        <f ca="1"/>
        <v>0</v>
      </c>
      <c r="AM53" s="143">
        <f ca="1"/>
        <v>0</v>
      </c>
      <c r="AN53" s="143">
        <f ca="1"/>
        <v>0</v>
      </c>
      <c r="AO53" s="154">
        <f t="shared" si="1"/>
        <v>4.8999999999999986</v>
      </c>
    </row>
    <row r="54" spans="2:41">
      <c r="S54" s="143">
        <v>0.35697656963411084</v>
      </c>
      <c r="T54" s="143">
        <v>0.22141387776996047</v>
      </c>
      <c r="U54" s="143">
        <v>0.33747480690667775</v>
      </c>
      <c r="V54" s="143">
        <v>0.19595412522179331</v>
      </c>
      <c r="W54" s="143">
        <v>0.23175713030662984</v>
      </c>
      <c r="X54" s="143">
        <v>0.16454345903735457</v>
      </c>
      <c r="Y54" s="143">
        <v>0.64443563850118213</v>
      </c>
      <c r="AN54" s="143">
        <f ca="1"/>
        <v>0</v>
      </c>
      <c r="AO54" s="154">
        <f t="shared" si="1"/>
        <v>4.9999999999999982</v>
      </c>
    </row>
    <row r="55" spans="2:41">
      <c r="S55" s="143">
        <v>0.37027561125711356</v>
      </c>
      <c r="T55" s="143">
        <v>0.23229202281484221</v>
      </c>
      <c r="U55" s="143">
        <v>0.36323554226611626</v>
      </c>
      <c r="V55" s="143">
        <v>0.21679444692061864</v>
      </c>
      <c r="W55" s="143">
        <v>0.3126026791601868</v>
      </c>
      <c r="X55" s="143">
        <v>0.14852294388709322</v>
      </c>
      <c r="Y55" s="143">
        <v>0.65103040486440322</v>
      </c>
      <c r="AN55" s="143">
        <f ca="1"/>
        <v>0</v>
      </c>
      <c r="AO55" s="154">
        <f t="shared" si="1"/>
        <v>5.0999999999999979</v>
      </c>
    </row>
    <row r="56" spans="2:41">
      <c r="S56" s="143">
        <v>0.36157082956473813</v>
      </c>
      <c r="T56" s="143">
        <v>0.22563794163745529</v>
      </c>
      <c r="U56" s="143">
        <v>0.39998589209782337</v>
      </c>
      <c r="V56" s="143">
        <v>0.25502212776430039</v>
      </c>
      <c r="W56" s="143">
        <v>0.25436351321318196</v>
      </c>
      <c r="X56" s="143">
        <v>0.14895854189497418</v>
      </c>
      <c r="Y56" s="143">
        <v>0.65984444663187425</v>
      </c>
      <c r="AN56" s="143">
        <f ca="1"/>
        <v>0</v>
      </c>
      <c r="AO56" s="154">
        <f t="shared" si="1"/>
        <v>5.1999999999999975</v>
      </c>
    </row>
    <row r="57" spans="2:41">
      <c r="S57" s="143">
        <v>0.36038973032281219</v>
      </c>
      <c r="T57" s="143">
        <v>0.22353438191647007</v>
      </c>
      <c r="U57" s="143">
        <v>0.37921640857165301</v>
      </c>
      <c r="V57" s="143">
        <v>0.28181518287417051</v>
      </c>
      <c r="W57" s="143">
        <v>0.27861840536797078</v>
      </c>
      <c r="X57" s="143">
        <v>0.18834310607564297</v>
      </c>
      <c r="Y57" s="143">
        <v>0.64239516764244409</v>
      </c>
      <c r="AN57" s="143">
        <f ca="1"/>
        <v>0</v>
      </c>
      <c r="AO57" s="154">
        <f t="shared" si="1"/>
        <v>5.2999999999999972</v>
      </c>
    </row>
    <row r="58" spans="2:41">
      <c r="S58" s="143">
        <v>0.37649950269419391</v>
      </c>
      <c r="T58" s="143">
        <v>0.23669283677580977</v>
      </c>
      <c r="U58" s="143">
        <v>0.41164959817757973</v>
      </c>
      <c r="V58" s="143">
        <v>0.21511766863145501</v>
      </c>
      <c r="W58" s="143">
        <v>0.34583382617626302</v>
      </c>
      <c r="X58" s="143">
        <v>0.15176433167571346</v>
      </c>
      <c r="Y58" s="143">
        <v>0.63071728295535601</v>
      </c>
      <c r="AN58" s="143">
        <f ca="1"/>
        <v>0</v>
      </c>
      <c r="AO58" s="154">
        <f t="shared" si="1"/>
        <v>5.3999999999999968</v>
      </c>
    </row>
    <row r="59" spans="2:41">
      <c r="S59" s="143">
        <v>0.36966779171245262</v>
      </c>
      <c r="T59" s="143">
        <v>0.23087705145351797</v>
      </c>
      <c r="U59" s="143">
        <v>0.35160990084143723</v>
      </c>
      <c r="V59" s="143">
        <v>0.2405756790811022</v>
      </c>
      <c r="W59" s="143">
        <v>0.31083400495155145</v>
      </c>
      <c r="X59" s="143">
        <v>0.16410765344781075</v>
      </c>
      <c r="Y59" s="143">
        <v>0.62371983319357016</v>
      </c>
      <c r="AN59" s="143">
        <f ca="1"/>
        <v>0</v>
      </c>
      <c r="AO59" s="154">
        <f t="shared" si="1"/>
        <v>5.4999999999999964</v>
      </c>
    </row>
    <row r="60" spans="2:41">
      <c r="S60" s="143">
        <v>0.37259788323680976</v>
      </c>
      <c r="T60" s="143">
        <v>0.23380561303267897</v>
      </c>
      <c r="U60" s="143">
        <v>0.38345756348193316</v>
      </c>
      <c r="V60" s="143">
        <v>0.22064928036094783</v>
      </c>
      <c r="W60" s="143">
        <v>0.34304624026689745</v>
      </c>
      <c r="X60" s="143">
        <v>0.16434805631726113</v>
      </c>
      <c r="Y60" s="143">
        <v>0.65057939097533368</v>
      </c>
      <c r="AN60" s="143">
        <f ca="1"/>
        <v>0</v>
      </c>
      <c r="AO60" s="154">
        <f t="shared" si="1"/>
        <v>5.5999999999999961</v>
      </c>
    </row>
    <row r="61" spans="2:41">
      <c r="S61" s="143">
        <v>0.38612994792278676</v>
      </c>
      <c r="T61" s="143">
        <v>0.24513374044410749</v>
      </c>
      <c r="U61" s="143">
        <v>0.4701851951541885</v>
      </c>
      <c r="V61" s="143">
        <v>0.28343580209479774</v>
      </c>
      <c r="W61" s="143">
        <v>0.34947269132019987</v>
      </c>
      <c r="X61" s="143">
        <v>0.10207070105906743</v>
      </c>
      <c r="Y61" s="143">
        <v>0.61566068082064618</v>
      </c>
      <c r="AN61" s="143">
        <f ca="1"/>
        <v>0</v>
      </c>
      <c r="AO61" s="154">
        <f t="shared" si="1"/>
        <v>5.6999999999999957</v>
      </c>
    </row>
    <row r="62" spans="2:41">
      <c r="S62" s="143">
        <v>0.3708356733221721</v>
      </c>
      <c r="T62" s="143">
        <v>0.2315491681698669</v>
      </c>
      <c r="U62" s="143">
        <v>0.39176873545292906</v>
      </c>
      <c r="V62" s="143">
        <v>0.25537169414413841</v>
      </c>
      <c r="W62" s="143">
        <v>0.37021188817985695</v>
      </c>
      <c r="X62" s="143">
        <v>0.20704843860606548</v>
      </c>
      <c r="Y62" s="143">
        <v>0.64874050460493826</v>
      </c>
      <c r="AN62" s="143">
        <f ca="1"/>
        <v>0</v>
      </c>
      <c r="AO62" s="154">
        <f t="shared" si="1"/>
        <v>5.7999999999999954</v>
      </c>
    </row>
    <row r="63" spans="2:41">
      <c r="S63" s="143">
        <v>0.37507037985334224</v>
      </c>
      <c r="T63" s="143">
        <v>0.2350729385672764</v>
      </c>
      <c r="U63" s="143">
        <v>0.354173279148914</v>
      </c>
      <c r="V63" s="143">
        <v>0.22940443186657883</v>
      </c>
      <c r="W63" s="143">
        <v>0.3427671493681741</v>
      </c>
      <c r="X63" s="143">
        <v>0.163539413938256</v>
      </c>
      <c r="Y63" s="143">
        <v>0.62107507968288678</v>
      </c>
      <c r="AN63" s="143">
        <f ca="1"/>
        <v>0</v>
      </c>
      <c r="AO63" s="154">
        <f t="shared" si="1"/>
        <v>5.899999999999995</v>
      </c>
    </row>
    <row r="64" spans="2:41">
      <c r="S64" s="143">
        <v>0.38088930673678012</v>
      </c>
      <c r="T64" s="143">
        <v>0.23977895510281824</v>
      </c>
      <c r="U64" s="143">
        <v>0.44536676985107765</v>
      </c>
      <c r="V64" s="143">
        <v>0.17157493217005587</v>
      </c>
      <c r="W64" s="143">
        <v>0.36971539117862828</v>
      </c>
      <c r="X64" s="143">
        <v>0.15626500762785989</v>
      </c>
      <c r="Y64" s="143">
        <v>0.61859123878913513</v>
      </c>
      <c r="AN64" s="143">
        <f ca="1"/>
        <v>0</v>
      </c>
      <c r="AO64" s="154">
        <f t="shared" si="1"/>
        <v>5.9999999999999947</v>
      </c>
    </row>
    <row r="65" spans="19:41">
      <c r="S65" s="143">
        <v>0.3677964739671451</v>
      </c>
      <c r="T65" s="143">
        <v>0.23038282015742043</v>
      </c>
      <c r="U65" s="143">
        <v>0.32540942626853397</v>
      </c>
      <c r="V65" s="143">
        <v>0.19863290314089668</v>
      </c>
      <c r="W65" s="143">
        <v>0.31001562426024803</v>
      </c>
      <c r="X65" s="143">
        <v>0.15861392000979491</v>
      </c>
      <c r="Y65" s="143">
        <v>0.66210274543909275</v>
      </c>
      <c r="AN65" s="143">
        <f ca="1"/>
        <v>0</v>
      </c>
      <c r="AO65" s="154">
        <f t="shared" si="1"/>
        <v>6.0999999999999943</v>
      </c>
    </row>
    <row r="66" spans="19:41">
      <c r="S66" s="143">
        <v>0.37200422911535674</v>
      </c>
      <c r="T66" s="143">
        <v>0.23359754504826732</v>
      </c>
      <c r="U66" s="143">
        <v>0.37542333992784355</v>
      </c>
      <c r="V66" s="143">
        <v>0.23249381725020707</v>
      </c>
      <c r="W66" s="143">
        <v>0.2890531135988334</v>
      </c>
      <c r="X66" s="143">
        <v>0.12541245518296656</v>
      </c>
      <c r="Y66" s="143">
        <v>0.62299550733221565</v>
      </c>
      <c r="AN66" s="143">
        <f ca="1"/>
        <v>0</v>
      </c>
      <c r="AO66" s="154">
        <f t="shared" si="1"/>
        <v>6.199999999999994</v>
      </c>
    </row>
    <row r="67" spans="19:41">
      <c r="S67" s="143">
        <v>0.36521014383487094</v>
      </c>
      <c r="T67" s="143">
        <v>0.22690206602707616</v>
      </c>
      <c r="U67" s="143">
        <v>0.32180755000934402</v>
      </c>
      <c r="V67" s="143">
        <v>0.25272384184405638</v>
      </c>
      <c r="W67" s="143">
        <v>0.30425528274519442</v>
      </c>
      <c r="X67" s="143">
        <v>0.18663934715336428</v>
      </c>
      <c r="Y67" s="143">
        <v>0.62550660280337034</v>
      </c>
      <c r="AN67" s="143">
        <f ca="1"/>
        <v>0</v>
      </c>
      <c r="AO67" s="154">
        <f t="shared" si="1"/>
        <v>6.2999999999999936</v>
      </c>
    </row>
    <row r="68" spans="19:41">
      <c r="S68" s="143">
        <v>0.37087195614083457</v>
      </c>
      <c r="T68" s="143">
        <v>0.23204727469465974</v>
      </c>
      <c r="U68" s="143">
        <v>0.35098523372065471</v>
      </c>
      <c r="V68" s="143">
        <v>0.32239523978668455</v>
      </c>
      <c r="W68" s="143">
        <v>0.30818672606418962</v>
      </c>
      <c r="X68" s="143">
        <v>0.1535795094781226</v>
      </c>
      <c r="Y68" s="143">
        <v>0.62282473690341</v>
      </c>
      <c r="AN68" s="143">
        <f ca="1"/>
        <v>0</v>
      </c>
      <c r="AO68" s="154">
        <f t="shared" si="1"/>
        <v>6.3999999999999932</v>
      </c>
    </row>
    <row r="69" spans="19:41">
      <c r="S69" s="143">
        <v>0.37298976768563424</v>
      </c>
      <c r="T69" s="143">
        <v>0.23192474558920415</v>
      </c>
      <c r="U69" s="143">
        <v>0.36382769965371281</v>
      </c>
      <c r="V69" s="143">
        <v>0.2061263352477547</v>
      </c>
      <c r="W69" s="143">
        <v>0.44042079407749213</v>
      </c>
      <c r="X69" s="143">
        <v>0.26960417176454055</v>
      </c>
      <c r="Y69" s="143">
        <v>0.64419532737654195</v>
      </c>
      <c r="AN69" s="143">
        <f ca="1"/>
        <v>0</v>
      </c>
      <c r="AO69" s="154">
        <f t="shared" si="1"/>
        <v>6.4999999999999929</v>
      </c>
    </row>
    <row r="70" spans="19:41">
      <c r="S70" s="143">
        <v>0.37263986168801394</v>
      </c>
      <c r="T70" s="143">
        <v>0.23381975766390528</v>
      </c>
      <c r="U70" s="143">
        <v>0.394635705212941</v>
      </c>
      <c r="V70" s="143">
        <v>0.18094991388641757</v>
      </c>
      <c r="W70" s="143">
        <v>0.34877667215891461</v>
      </c>
      <c r="X70" s="143">
        <v>0.16860190690832111</v>
      </c>
      <c r="Y70" s="143">
        <v>0.65327283463957475</v>
      </c>
      <c r="AN70" s="143">
        <f ca="1"/>
        <v>0</v>
      </c>
      <c r="AO70" s="154">
        <f t="shared" ref="AO70:AO104" si="2">AO69+0.1</f>
        <v>6.5999999999999925</v>
      </c>
    </row>
    <row r="71" spans="19:41">
      <c r="S71" s="143">
        <v>0.39211842246288114</v>
      </c>
      <c r="T71" s="143">
        <v>0.24866160612837829</v>
      </c>
      <c r="U71" s="143">
        <v>0.44463608627878193</v>
      </c>
      <c r="V71" s="143">
        <v>0.23122301574547824</v>
      </c>
      <c r="W71" s="143">
        <v>0.45302471533799271</v>
      </c>
      <c r="X71" s="143">
        <v>0.16986615438436226</v>
      </c>
      <c r="Y71" s="143">
        <v>0.62710323520096234</v>
      </c>
      <c r="AN71" s="143">
        <f ca="1"/>
        <v>0</v>
      </c>
      <c r="AO71" s="154">
        <f t="shared" si="2"/>
        <v>6.6999999999999922</v>
      </c>
    </row>
    <row r="72" spans="19:41">
      <c r="S72" s="143">
        <v>0.36504178235141255</v>
      </c>
      <c r="T72" s="143">
        <v>0.22772956864285265</v>
      </c>
      <c r="U72" s="143">
        <v>0.43102400644326316</v>
      </c>
      <c r="V72" s="143">
        <v>0.21397815638648657</v>
      </c>
      <c r="W72" s="143">
        <v>0.25913670747284234</v>
      </c>
      <c r="X72" s="143">
        <v>0.14192960466289964</v>
      </c>
      <c r="Y72" s="143">
        <v>0.62122778720872907</v>
      </c>
      <c r="AN72" s="143">
        <f ca="1"/>
        <v>0</v>
      </c>
      <c r="AO72" s="154">
        <f t="shared" si="2"/>
        <v>6.7999999999999918</v>
      </c>
    </row>
    <row r="73" spans="19:41">
      <c r="S73" s="143">
        <v>0.366717803075229</v>
      </c>
      <c r="T73" s="143">
        <v>0.22926740998298781</v>
      </c>
      <c r="U73" s="143">
        <v>0.38274514332358078</v>
      </c>
      <c r="V73" s="143">
        <v>0.19368271890438662</v>
      </c>
      <c r="W73" s="143">
        <v>0.31989695918653482</v>
      </c>
      <c r="X73" s="143">
        <v>0.17622501410332359</v>
      </c>
      <c r="Y73" s="143">
        <v>0.66424110167102912</v>
      </c>
      <c r="AN73" s="143">
        <f ca="1"/>
        <v>0</v>
      </c>
      <c r="AO73" s="154">
        <f t="shared" si="2"/>
        <v>6.8999999999999915</v>
      </c>
    </row>
    <row r="74" spans="19:41">
      <c r="S74" s="143">
        <v>0.3914455667750199</v>
      </c>
      <c r="T74" s="143">
        <v>0.24744621133705896</v>
      </c>
      <c r="U74" s="143">
        <v>0.40614973892515444</v>
      </c>
      <c r="V74" s="143">
        <v>0.23112433718792513</v>
      </c>
      <c r="W74" s="143">
        <v>0.46153788552554909</v>
      </c>
      <c r="X74" s="143">
        <v>0.19062965108656249</v>
      </c>
      <c r="Y74" s="143">
        <v>0.61930277987981375</v>
      </c>
      <c r="AN74" s="143">
        <f ca="1"/>
        <v>0</v>
      </c>
      <c r="AO74" s="154">
        <f t="shared" si="2"/>
        <v>6.9999999999999911</v>
      </c>
    </row>
    <row r="75" spans="19:41">
      <c r="S75" s="143">
        <v>0.3723255798777822</v>
      </c>
      <c r="T75" s="143">
        <v>0.2330761210717287</v>
      </c>
      <c r="U75" s="143">
        <v>0.42619954378160901</v>
      </c>
      <c r="V75" s="143">
        <v>0.17029236182289184</v>
      </c>
      <c r="W75" s="143">
        <v>0.3269124085791027</v>
      </c>
      <c r="X75" s="143">
        <v>0.16205460625043405</v>
      </c>
      <c r="Y75" s="143">
        <v>0.62638915132816475</v>
      </c>
      <c r="AN75" s="143">
        <f ca="1"/>
        <v>0</v>
      </c>
      <c r="AO75" s="154">
        <f t="shared" si="2"/>
        <v>7.0999999999999908</v>
      </c>
    </row>
    <row r="76" spans="19:41">
      <c r="S76" s="143">
        <v>0.37172094924215965</v>
      </c>
      <c r="T76" s="143">
        <v>0.23319007118764276</v>
      </c>
      <c r="U76" s="143">
        <v>0.37559502875785195</v>
      </c>
      <c r="V76" s="143">
        <v>0.15071003141227582</v>
      </c>
      <c r="W76" s="143">
        <v>0.31521482770746412</v>
      </c>
      <c r="X76" s="143">
        <v>0.147514465173816</v>
      </c>
      <c r="Y76" s="143">
        <v>0.63848086151343963</v>
      </c>
      <c r="AN76" s="143">
        <f ca="1"/>
        <v>0</v>
      </c>
      <c r="AO76" s="154">
        <f t="shared" si="2"/>
        <v>7.1999999999999904</v>
      </c>
    </row>
    <row r="77" spans="19:41">
      <c r="S77" s="143">
        <v>0.36883534541168617</v>
      </c>
      <c r="T77" s="143">
        <v>0.23044851423975635</v>
      </c>
      <c r="U77" s="143">
        <v>0.37082832653159914</v>
      </c>
      <c r="V77" s="143">
        <v>0.20859819389086098</v>
      </c>
      <c r="W77" s="143">
        <v>0.33384580106160178</v>
      </c>
      <c r="X77" s="143">
        <v>0.18263707540278107</v>
      </c>
      <c r="Y77" s="143">
        <v>0.64894190819680575</v>
      </c>
      <c r="AN77" s="143">
        <f ca="1"/>
        <v>0</v>
      </c>
      <c r="AO77" s="154">
        <f t="shared" si="2"/>
        <v>7.2999999999999901</v>
      </c>
    </row>
    <row r="78" spans="19:41">
      <c r="S78" s="143">
        <v>0.37146683914341588</v>
      </c>
      <c r="T78" s="143">
        <v>0.23233449874928233</v>
      </c>
      <c r="U78" s="143">
        <v>0.36637292512079289</v>
      </c>
      <c r="V78" s="143">
        <v>0.2527078001400952</v>
      </c>
      <c r="W78" s="143">
        <v>0.36155701996625178</v>
      </c>
      <c r="X78" s="143">
        <v>0.19297774137096024</v>
      </c>
      <c r="Y78" s="143">
        <v>0.6493534856026737</v>
      </c>
      <c r="AN78" s="143">
        <f ca="1"/>
        <v>0</v>
      </c>
      <c r="AO78" s="154">
        <f t="shared" si="2"/>
        <v>7.3999999999999897</v>
      </c>
    </row>
    <row r="79" spans="19:41">
      <c r="S79" s="143">
        <v>0.36868868783035313</v>
      </c>
      <c r="T79" s="143">
        <v>0.23144125832703441</v>
      </c>
      <c r="U79" s="143">
        <v>0.37281734808512651</v>
      </c>
      <c r="V79" s="143">
        <v>0.30187422924724072</v>
      </c>
      <c r="W79" s="143">
        <v>0.28880629004234365</v>
      </c>
      <c r="X79" s="143">
        <v>0.13258595114103744</v>
      </c>
      <c r="Y79" s="143">
        <v>0.65578718341946263</v>
      </c>
      <c r="AN79" s="143">
        <f ca="1"/>
        <v>0</v>
      </c>
      <c r="AO79" s="154">
        <f t="shared" si="2"/>
        <v>7.4999999999999893</v>
      </c>
    </row>
    <row r="80" spans="19:41">
      <c r="S80" s="143">
        <v>0.39067996359401164</v>
      </c>
      <c r="T80" s="143">
        <v>0.24678299095595166</v>
      </c>
      <c r="U80" s="143">
        <v>0.44474095771858951</v>
      </c>
      <c r="V80" s="143">
        <v>0.2187585175376931</v>
      </c>
      <c r="W80" s="143">
        <v>0.45207095972971656</v>
      </c>
      <c r="X80" s="143">
        <v>0.18777566536710932</v>
      </c>
      <c r="Y80" s="143">
        <v>0.6157180229112772</v>
      </c>
      <c r="AN80" s="143">
        <f ca="1"/>
        <v>0</v>
      </c>
      <c r="AO80" s="154">
        <f t="shared" si="2"/>
        <v>7.599999999999989</v>
      </c>
    </row>
    <row r="81" spans="19:41">
      <c r="S81" s="143">
        <v>0.36914100497294361</v>
      </c>
      <c r="T81" s="143">
        <v>0.23097514439343772</v>
      </c>
      <c r="U81" s="143">
        <v>0.41218727857469473</v>
      </c>
      <c r="V81" s="143">
        <v>0.23140431884804213</v>
      </c>
      <c r="W81" s="143">
        <v>0.32156710834321184</v>
      </c>
      <c r="X81" s="143">
        <v>0.16758785867918424</v>
      </c>
      <c r="Y81" s="143">
        <v>0.64856202344436753</v>
      </c>
      <c r="AN81" s="143">
        <f ca="1"/>
        <v>0</v>
      </c>
      <c r="AO81" s="154">
        <f t="shared" si="2"/>
        <v>7.6999999999999886</v>
      </c>
    </row>
    <row r="82" spans="19:41">
      <c r="S82" s="143">
        <v>0.36678459842759592</v>
      </c>
      <c r="T82" s="143">
        <v>0.22804205995181567</v>
      </c>
      <c r="U82" s="143">
        <v>0.30935616101140301</v>
      </c>
      <c r="V82" s="143">
        <v>0.25377776399839796</v>
      </c>
      <c r="W82" s="143">
        <v>0.33102342301460086</v>
      </c>
      <c r="X82" s="143">
        <v>0.20096596660960531</v>
      </c>
      <c r="Y82" s="143">
        <v>0.63356808890075478</v>
      </c>
      <c r="AN82" s="143">
        <f ca="1"/>
        <v>0</v>
      </c>
      <c r="AO82" s="154">
        <f t="shared" si="2"/>
        <v>7.7999999999999883</v>
      </c>
    </row>
    <row r="83" spans="19:41">
      <c r="S83" s="143">
        <v>0.36234856343411403</v>
      </c>
      <c r="T83" s="143">
        <v>0.22492482584691645</v>
      </c>
      <c r="U83" s="143">
        <v>0.32486460224308977</v>
      </c>
      <c r="V83" s="143">
        <v>0.17547648306979194</v>
      </c>
      <c r="W83" s="143">
        <v>0.27489738051720469</v>
      </c>
      <c r="X83" s="143">
        <v>0.17549510703252214</v>
      </c>
      <c r="Y83" s="143">
        <v>0.62560383012112286</v>
      </c>
      <c r="AN83" s="143">
        <f ca="1"/>
        <v>0</v>
      </c>
      <c r="AO83" s="154">
        <f t="shared" si="2"/>
        <v>7.8999999999999879</v>
      </c>
    </row>
    <row r="84" spans="19:41">
      <c r="S84" s="143">
        <v>0.36945651509053667</v>
      </c>
      <c r="T84" s="143">
        <v>0.23172219519059423</v>
      </c>
      <c r="U84" s="143">
        <v>0.34836737987835714</v>
      </c>
      <c r="V84" s="143">
        <v>0.28820665764791759</v>
      </c>
      <c r="W84" s="143">
        <v>0.26903536566414132</v>
      </c>
      <c r="X84" s="143">
        <v>0.12108398766340867</v>
      </c>
      <c r="Y84" s="143">
        <v>0.62386188039196488</v>
      </c>
      <c r="AN84" s="143">
        <f ca="1"/>
        <v>0</v>
      </c>
      <c r="AO84" s="154">
        <f t="shared" si="2"/>
        <v>7.9999999999999876</v>
      </c>
    </row>
    <row r="85" spans="19:41">
      <c r="S85" s="143">
        <v>0.37208178385162161</v>
      </c>
      <c r="T85" s="143">
        <v>0.23244072179674444</v>
      </c>
      <c r="U85" s="143">
        <v>0.33967053570681427</v>
      </c>
      <c r="V85" s="143">
        <v>0.19788438725506632</v>
      </c>
      <c r="W85" s="143">
        <v>0.3891233016875657</v>
      </c>
      <c r="X85" s="143">
        <v>0.21672460087181955</v>
      </c>
      <c r="Y85" s="143">
        <v>0.65169644847519892</v>
      </c>
      <c r="AN85" s="143">
        <f ca="1"/>
        <v>0</v>
      </c>
      <c r="AO85" s="154">
        <f t="shared" si="2"/>
        <v>8.0999999999999872</v>
      </c>
    </row>
    <row r="86" spans="19:41">
      <c r="S86" s="143">
        <v>0.36521001594259989</v>
      </c>
      <c r="T86" s="143">
        <v>0.22850052832644505</v>
      </c>
      <c r="U86" s="143">
        <v>0.36820913201061517</v>
      </c>
      <c r="V86" s="143">
        <v>0.20110373691529479</v>
      </c>
      <c r="W86" s="143">
        <v>0.26580441124083931</v>
      </c>
      <c r="X86" s="143">
        <v>0.1374497948540408</v>
      </c>
      <c r="Y86" s="143">
        <v>0.64885997466401857</v>
      </c>
      <c r="AN86" s="143">
        <f ca="1"/>
        <v>0</v>
      </c>
      <c r="AO86" s="154">
        <f t="shared" si="2"/>
        <v>8.1999999999999869</v>
      </c>
    </row>
    <row r="87" spans="19:41">
      <c r="S87" s="143">
        <v>0.36166842320675274</v>
      </c>
      <c r="T87" s="143">
        <v>0.22550776342029547</v>
      </c>
      <c r="U87" s="143">
        <v>0.40244048620428108</v>
      </c>
      <c r="V87" s="143">
        <v>0.20530755685047478</v>
      </c>
      <c r="W87" s="143">
        <v>0.26512437502847497</v>
      </c>
      <c r="X87" s="143">
        <v>0.15951119706613484</v>
      </c>
      <c r="Y87" s="143">
        <v>0.65949369536157187</v>
      </c>
      <c r="AN87" s="143">
        <f ca="1"/>
        <v>0</v>
      </c>
      <c r="AO87" s="154">
        <f t="shared" si="2"/>
        <v>8.2999999999999865</v>
      </c>
    </row>
    <row r="88" spans="19:41">
      <c r="S88" s="143">
        <v>0.37284379822151825</v>
      </c>
      <c r="T88" s="143">
        <v>0.23229501418644546</v>
      </c>
      <c r="U88" s="143">
        <v>0.36218950249124887</v>
      </c>
      <c r="V88" s="143">
        <v>0.18479494249931491</v>
      </c>
      <c r="W88" s="143">
        <v>0.40778692325841492</v>
      </c>
      <c r="X88" s="143">
        <v>0.23756805779235879</v>
      </c>
      <c r="Y88" s="143">
        <v>0.64073136925658236</v>
      </c>
      <c r="AN88" s="143">
        <f ca="1"/>
        <v>0</v>
      </c>
      <c r="AO88" s="154">
        <f t="shared" si="2"/>
        <v>8.3999999999999861</v>
      </c>
    </row>
    <row r="89" spans="19:41">
      <c r="S89" s="143">
        <v>0.36878542031969969</v>
      </c>
      <c r="T89" s="143">
        <v>0.2301581872531184</v>
      </c>
      <c r="U89" s="143">
        <v>0.36016898689488047</v>
      </c>
      <c r="V89" s="143">
        <v>0.26752456282425435</v>
      </c>
      <c r="W89" s="143">
        <v>0.32039111650956814</v>
      </c>
      <c r="X89" s="143">
        <v>0.17594700966721277</v>
      </c>
      <c r="Y89" s="143">
        <v>0.63347458208551399</v>
      </c>
      <c r="AN89" s="143">
        <f ca="1"/>
        <v>0</v>
      </c>
      <c r="AO89" s="154">
        <f t="shared" si="2"/>
        <v>8.4999999999999858</v>
      </c>
    </row>
    <row r="90" spans="19:41">
      <c r="S90" s="143">
        <v>0.36651031862563288</v>
      </c>
      <c r="T90" s="143">
        <v>0.22963167902712869</v>
      </c>
      <c r="U90" s="143">
        <v>0.38590526892593252</v>
      </c>
      <c r="V90" s="143">
        <v>0.21060349487237268</v>
      </c>
      <c r="W90" s="143">
        <v>0.24243181039574638</v>
      </c>
      <c r="X90" s="143">
        <v>0.11293448899602263</v>
      </c>
      <c r="Y90" s="143">
        <v>0.62481035727908818</v>
      </c>
      <c r="AN90" s="143">
        <f ca="1"/>
        <v>0</v>
      </c>
      <c r="AO90" s="154">
        <f t="shared" si="2"/>
        <v>8.5999999999999854</v>
      </c>
    </row>
    <row r="91" spans="19:41">
      <c r="S91" s="143">
        <v>0.36936547458036684</v>
      </c>
      <c r="T91" s="143">
        <v>0.23020233287642158</v>
      </c>
      <c r="U91" s="143">
        <v>0.39696420599575766</v>
      </c>
      <c r="V91" s="143">
        <v>0.20766785027622933</v>
      </c>
      <c r="W91" s="143">
        <v>0.36760029199124078</v>
      </c>
      <c r="X91" s="143">
        <v>0.21521401388134798</v>
      </c>
      <c r="Y91" s="143">
        <v>0.64779266695779003</v>
      </c>
      <c r="AN91" s="143">
        <f ca="1"/>
        <v>0</v>
      </c>
      <c r="AO91" s="154">
        <f t="shared" si="2"/>
        <v>8.6999999999999851</v>
      </c>
    </row>
    <row r="92" spans="19:41">
      <c r="S92" s="143">
        <v>0.37077165125297801</v>
      </c>
      <c r="T92" s="143">
        <v>0.23190337042333328</v>
      </c>
      <c r="U92" s="143">
        <v>0.39796087154477805</v>
      </c>
      <c r="V92" s="143">
        <v>0.24620023788218948</v>
      </c>
      <c r="W92" s="143">
        <v>0.34896041743782136</v>
      </c>
      <c r="X92" s="143">
        <v>0.18519388700138872</v>
      </c>
      <c r="Y92" s="143">
        <v>0.6481058780562069</v>
      </c>
      <c r="AN92" s="143">
        <f ca="1"/>
        <v>0</v>
      </c>
      <c r="AO92" s="154">
        <f t="shared" si="2"/>
        <v>8.7999999999999847</v>
      </c>
    </row>
    <row r="93" spans="19:41">
      <c r="S93" s="143">
        <v>0.37848486656502933</v>
      </c>
      <c r="T93" s="143">
        <v>0.23758746792281646</v>
      </c>
      <c r="U93" s="143">
        <v>0.34892444725909594</v>
      </c>
      <c r="V93" s="143">
        <v>0.28092264732045569</v>
      </c>
      <c r="W93" s="143">
        <v>0.45560381533657479</v>
      </c>
      <c r="X93" s="143">
        <v>0.23484131102398298</v>
      </c>
      <c r="Y93" s="143">
        <v>0.66308497833760682</v>
      </c>
      <c r="AN93" s="143">
        <f ca="1"/>
        <v>0</v>
      </c>
      <c r="AO93" s="154">
        <f t="shared" si="2"/>
        <v>8.8999999999999844</v>
      </c>
    </row>
    <row r="94" spans="19:41">
      <c r="S94" s="143">
        <v>0.36222927950135969</v>
      </c>
      <c r="T94" s="143">
        <v>0.2270185703998942</v>
      </c>
      <c r="U94" s="143">
        <v>0.32175645840449801</v>
      </c>
      <c r="V94" s="143">
        <v>0.25461909646157854</v>
      </c>
      <c r="W94" s="143">
        <v>0.21691167787696744</v>
      </c>
      <c r="X94" s="143">
        <v>0.10432757223427917</v>
      </c>
      <c r="Y94" s="143">
        <v>0.66140053785501862</v>
      </c>
      <c r="AN94" s="143">
        <f ca="1"/>
        <v>0</v>
      </c>
      <c r="AO94" s="154">
        <f t="shared" si="2"/>
        <v>8.999999999999984</v>
      </c>
    </row>
    <row r="95" spans="19:41">
      <c r="S95" s="143">
        <v>0.36707921896837858</v>
      </c>
      <c r="T95" s="143">
        <v>0.22887544310488536</v>
      </c>
      <c r="U95" s="143">
        <v>0.28994119722357009</v>
      </c>
      <c r="V95" s="143">
        <v>0.20748648348344501</v>
      </c>
      <c r="W95" s="143">
        <v>0.29521126527528468</v>
      </c>
      <c r="X95" s="143">
        <v>0.16449518761313742</v>
      </c>
      <c r="Y95" s="143">
        <v>0.62522940756748568</v>
      </c>
      <c r="AN95" s="143">
        <f ca="1"/>
        <v>0</v>
      </c>
      <c r="AO95" s="154">
        <f t="shared" si="2"/>
        <v>9.0999999999999837</v>
      </c>
    </row>
    <row r="96" spans="19:41">
      <c r="S96" s="143">
        <v>0.36061926273636091</v>
      </c>
      <c r="T96" s="143">
        <v>0.22441042151125654</v>
      </c>
      <c r="U96" s="143">
        <v>0.33852888535710751</v>
      </c>
      <c r="V96" s="143">
        <v>0.17676182315473957</v>
      </c>
      <c r="W96" s="143">
        <v>0.23076878923213567</v>
      </c>
      <c r="X96" s="143">
        <v>0.14132883316207598</v>
      </c>
      <c r="Y96" s="143">
        <v>0.62688888768082174</v>
      </c>
      <c r="AN96" s="143">
        <f ca="1"/>
        <v>0</v>
      </c>
      <c r="AO96" s="154">
        <f t="shared" si="2"/>
        <v>9.1999999999999833</v>
      </c>
    </row>
    <row r="97" spans="19:41">
      <c r="S97" s="143">
        <v>0.37191846324619343</v>
      </c>
      <c r="T97" s="143">
        <v>0.23491397624069463</v>
      </c>
      <c r="U97" s="143">
        <v>0.40781305125262279</v>
      </c>
      <c r="V97" s="143">
        <v>0.26792710348612286</v>
      </c>
      <c r="W97" s="143">
        <v>0.24941116477280628</v>
      </c>
      <c r="X97" s="143">
        <v>7.3921189266311055E-2</v>
      </c>
      <c r="Y97" s="143">
        <v>0.64196721502880794</v>
      </c>
      <c r="AN97" s="143">
        <f ca="1"/>
        <v>0</v>
      </c>
      <c r="AO97" s="154">
        <f t="shared" si="2"/>
        <v>9.2999999999999829</v>
      </c>
    </row>
    <row r="98" spans="19:41">
      <c r="S98" s="143">
        <v>0.37888458566715949</v>
      </c>
      <c r="T98" s="143">
        <v>0.23665515768438836</v>
      </c>
      <c r="U98" s="143">
        <v>0.38413708001156216</v>
      </c>
      <c r="V98" s="143">
        <v>0.24297549406815092</v>
      </c>
      <c r="W98" s="143">
        <v>0.49377118258632002</v>
      </c>
      <c r="X98" s="143">
        <v>0.28312469984947419</v>
      </c>
      <c r="Y98" s="143">
        <v>0.65037429108195854</v>
      </c>
      <c r="AN98" s="143">
        <f ca="1"/>
        <v>0</v>
      </c>
      <c r="AO98" s="154">
        <f t="shared" si="2"/>
        <v>9.3999999999999826</v>
      </c>
    </row>
    <row r="99" spans="19:41">
      <c r="S99" s="143">
        <v>0.38036770056683944</v>
      </c>
      <c r="T99" s="143">
        <v>0.24077913874816892</v>
      </c>
      <c r="U99" s="143">
        <v>0.31559110045476019</v>
      </c>
      <c r="V99" s="143">
        <v>0.25987207080811081</v>
      </c>
      <c r="W99" s="143">
        <v>0.35725510617083178</v>
      </c>
      <c r="X99" s="143">
        <v>0.12181683282973446</v>
      </c>
      <c r="Y99" s="143">
        <v>0.65293723121612346</v>
      </c>
      <c r="AN99" s="143">
        <f ca="1"/>
        <v>0</v>
      </c>
      <c r="AO99" s="154">
        <f t="shared" si="2"/>
        <v>9.4999999999999822</v>
      </c>
    </row>
    <row r="100" spans="19:41">
      <c r="S100" s="143">
        <v>0.36710697038832923</v>
      </c>
      <c r="T100" s="143">
        <v>0.23007367368678264</v>
      </c>
      <c r="U100" s="143">
        <v>0.39238255862518562</v>
      </c>
      <c r="V100" s="143">
        <v>0.289307427441926</v>
      </c>
      <c r="W100" s="143">
        <v>0.2679008122445849</v>
      </c>
      <c r="X100" s="143">
        <v>0.12805721465878478</v>
      </c>
      <c r="Y100" s="143">
        <v>0.64324234042028983</v>
      </c>
      <c r="AN100" s="143">
        <f ca="1"/>
        <v>0</v>
      </c>
      <c r="AO100" s="154">
        <f t="shared" si="2"/>
        <v>9.5999999999999819</v>
      </c>
    </row>
    <row r="101" spans="19:41">
      <c r="S101" s="143">
        <v>0.36139218829965974</v>
      </c>
      <c r="T101" s="143">
        <v>0.22284505600051438</v>
      </c>
      <c r="U101" s="143">
        <v>0.29699294972242263</v>
      </c>
      <c r="V101" s="143">
        <v>0.20324009041776947</v>
      </c>
      <c r="W101" s="143">
        <v>0.36619333080333605</v>
      </c>
      <c r="X101" s="143">
        <v>0.27045163419507279</v>
      </c>
      <c r="Y101" s="143">
        <v>0.6476139824142213</v>
      </c>
      <c r="AN101" s="143">
        <f ca="1"/>
        <v>0</v>
      </c>
      <c r="AO101" s="154">
        <f t="shared" si="2"/>
        <v>9.6999999999999815</v>
      </c>
    </row>
    <row r="102" spans="19:41">
      <c r="S102" s="143">
        <v>0.37033438694181525</v>
      </c>
      <c r="T102" s="143">
        <v>0.23206163638524566</v>
      </c>
      <c r="U102" s="143">
        <v>0.40165969291422049</v>
      </c>
      <c r="V102" s="143">
        <v>0.19804696897847868</v>
      </c>
      <c r="W102" s="143">
        <v>0.30470784394667583</v>
      </c>
      <c r="X102" s="143">
        <v>0.14719643748155856</v>
      </c>
      <c r="Y102" s="143">
        <v>0.6362393226721399</v>
      </c>
      <c r="AN102" s="143">
        <f ca="1"/>
        <v>0</v>
      </c>
      <c r="AO102" s="154">
        <f t="shared" si="2"/>
        <v>9.7999999999999812</v>
      </c>
    </row>
    <row r="103" spans="19:41">
      <c r="S103" s="143">
        <v>0.38012422477034075</v>
      </c>
      <c r="T103" s="143">
        <v>0.24015034877022079</v>
      </c>
      <c r="U103" s="143">
        <v>0.49264923448699555</v>
      </c>
      <c r="V103" s="143">
        <v>0.22653960664564232</v>
      </c>
      <c r="W103" s="143">
        <v>0.33060770021245889</v>
      </c>
      <c r="X103" s="143">
        <v>0.11664612855893786</v>
      </c>
      <c r="Y103" s="143">
        <v>0.62146584722956622</v>
      </c>
      <c r="AN103" s="143">
        <f ca="1"/>
        <v>0</v>
      </c>
      <c r="AO103" s="154">
        <f t="shared" si="2"/>
        <v>9.8999999999999808</v>
      </c>
    </row>
    <row r="104" spans="19:41">
      <c r="S104" s="143">
        <v>0.36567279036641109</v>
      </c>
      <c r="T104" s="143">
        <v>0.22835701822139204</v>
      </c>
      <c r="U104" s="143">
        <v>0.37880611092320116</v>
      </c>
      <c r="V104" s="143">
        <v>0.19119296089208027</v>
      </c>
      <c r="W104" s="143">
        <v>0.29153523053409414</v>
      </c>
      <c r="X104" s="143">
        <v>0.16149559009409886</v>
      </c>
      <c r="Y104" s="143">
        <v>0.64780315382564557</v>
      </c>
      <c r="AN104" s="143">
        <f ca="1"/>
        <v>1</v>
      </c>
      <c r="AO104" s="154">
        <f t="shared" si="2"/>
        <v>9.9999999999999805</v>
      </c>
    </row>
    <row r="105" spans="19:41">
      <c r="S105" s="143">
        <v>0.36598840102128238</v>
      </c>
      <c r="T105" s="143">
        <v>0.22773098759603919</v>
      </c>
      <c r="U105" s="143">
        <v>0.29755425587114637</v>
      </c>
      <c r="V105" s="143">
        <v>0.21811542117700403</v>
      </c>
      <c r="W105" s="143">
        <v>0.30975852195235842</v>
      </c>
      <c r="X105" s="143">
        <v>0.18469198175857449</v>
      </c>
      <c r="Y105" s="143">
        <v>0.63199029512548988</v>
      </c>
    </row>
    <row r="106" spans="19:41">
      <c r="S106" s="143">
        <v>0.38546732089788771</v>
      </c>
      <c r="T106" s="143">
        <v>0.24355514587748717</v>
      </c>
      <c r="U106" s="143">
        <v>0.31693660507858318</v>
      </c>
      <c r="V106" s="143">
        <v>0.25244014053725761</v>
      </c>
      <c r="W106" s="143">
        <v>0.45598588181735245</v>
      </c>
      <c r="X106" s="143">
        <v>0.19433880156994199</v>
      </c>
      <c r="Y106" s="143">
        <v>0.65279029159928859</v>
      </c>
    </row>
    <row r="107" spans="19:41">
      <c r="S107" s="143">
        <v>0.37196885067121704</v>
      </c>
      <c r="T107" s="143">
        <v>0.23345641447108717</v>
      </c>
      <c r="U107" s="143">
        <v>0.32653648011025876</v>
      </c>
      <c r="V107" s="143">
        <v>0.30048312187442672</v>
      </c>
      <c r="W107" s="143">
        <v>0.31092651572936586</v>
      </c>
      <c r="X107" s="143">
        <v>0.1422176714209441</v>
      </c>
      <c r="Y107" s="143">
        <v>0.63651491045459463</v>
      </c>
    </row>
    <row r="108" spans="19:41">
      <c r="S108" s="143">
        <v>0.35203368524495438</v>
      </c>
      <c r="T108" s="143">
        <v>0.21817174292175215</v>
      </c>
      <c r="U108" s="143">
        <v>0.38895531844597486</v>
      </c>
      <c r="V108" s="143">
        <v>0.18159133312650086</v>
      </c>
      <c r="W108" s="143">
        <v>0.1815052628534132</v>
      </c>
      <c r="X108" s="143">
        <v>0.14886341728398633</v>
      </c>
      <c r="Y108" s="143">
        <v>0.65973856712649681</v>
      </c>
    </row>
    <row r="109" spans="19:41">
      <c r="S109" s="143">
        <v>0.36161883395996219</v>
      </c>
      <c r="T109" s="143">
        <v>0.22649480428471577</v>
      </c>
      <c r="U109" s="143">
        <v>0.28520779777660032</v>
      </c>
      <c r="V109" s="143">
        <v>0.26849001511352533</v>
      </c>
      <c r="W109" s="143">
        <v>0.18621959578622388</v>
      </c>
      <c r="X109" s="143">
        <v>8.7274632261405874E-2</v>
      </c>
      <c r="Y109" s="143">
        <v>0.62939233337078104</v>
      </c>
    </row>
    <row r="110" spans="19:41">
      <c r="S110" s="143">
        <v>0.36778890829995076</v>
      </c>
      <c r="T110" s="143">
        <v>0.23100152856444256</v>
      </c>
      <c r="U110" s="143">
        <v>0.29484402352806738</v>
      </c>
      <c r="V110" s="143">
        <v>0.20834914467829066</v>
      </c>
      <c r="W110" s="143">
        <v>0.25757360200305707</v>
      </c>
      <c r="X110" s="143">
        <v>0.11093401390299758</v>
      </c>
      <c r="Y110" s="143">
        <v>0.64597752396819508</v>
      </c>
    </row>
    <row r="111" spans="19:41">
      <c r="S111" s="143">
        <v>0.35616819460468857</v>
      </c>
      <c r="T111" s="143">
        <v>0.22061687694061949</v>
      </c>
      <c r="U111" s="143">
        <v>0.31046528505814724</v>
      </c>
      <c r="V111" s="143">
        <v>0.22732470896538221</v>
      </c>
      <c r="W111" s="143">
        <v>0.2322946227037832</v>
      </c>
      <c r="X111" s="143">
        <v>0.17126491948679468</v>
      </c>
      <c r="Y111" s="143">
        <v>0.64350015234909752</v>
      </c>
    </row>
    <row r="112" spans="19:41">
      <c r="S112" s="143">
        <v>0.35941531391440473</v>
      </c>
      <c r="T112" s="143">
        <v>0.22328681634419648</v>
      </c>
      <c r="U112" s="143">
        <v>0.39151309628824194</v>
      </c>
      <c r="V112" s="143">
        <v>0.29349919488266635</v>
      </c>
      <c r="W112" s="143">
        <v>0.2350931978041777</v>
      </c>
      <c r="X112" s="143">
        <v>0.15319623343196359</v>
      </c>
      <c r="Y112" s="143">
        <v>0.63136620673574961</v>
      </c>
    </row>
    <row r="113" spans="19:25">
      <c r="S113" s="143">
        <v>0.38259919688595462</v>
      </c>
      <c r="T113" s="143">
        <v>0.24093729810715123</v>
      </c>
      <c r="U113" s="143">
        <v>0.472791878421504</v>
      </c>
      <c r="V113" s="143">
        <v>0.16942359466908211</v>
      </c>
      <c r="W113" s="143">
        <v>0.43798174272340917</v>
      </c>
      <c r="X113" s="143">
        <v>0.2004023740892007</v>
      </c>
      <c r="Y113" s="143">
        <v>0.64553263526575722</v>
      </c>
    </row>
    <row r="114" spans="19:25">
      <c r="S114" s="143">
        <v>0.36805686969796642</v>
      </c>
      <c r="T114" s="143">
        <v>0.23084137134154503</v>
      </c>
      <c r="U114" s="143">
        <v>0.30038058235436688</v>
      </c>
      <c r="V114" s="143">
        <v>0.27029742493180392</v>
      </c>
      <c r="W114" s="143">
        <v>0.27121987966595296</v>
      </c>
      <c r="X114" s="143">
        <v>0.12541450239281338</v>
      </c>
      <c r="Y114" s="143">
        <v>0.64154672634259291</v>
      </c>
    </row>
    <row r="115" spans="19:25">
      <c r="S115" s="143">
        <v>0.3707490301476748</v>
      </c>
      <c r="T115" s="143">
        <v>0.23215618110560315</v>
      </c>
      <c r="U115" s="143">
        <v>0.3079795719216174</v>
      </c>
      <c r="V115" s="143">
        <v>0.27502770080981453</v>
      </c>
      <c r="W115" s="143">
        <v>0.33076418514196093</v>
      </c>
      <c r="X115" s="143">
        <v>0.16761623511320167</v>
      </c>
      <c r="Y115" s="143">
        <v>0.64496352805963619</v>
      </c>
    </row>
    <row r="116" spans="19:25">
      <c r="S116" s="143">
        <v>0.35853760080376212</v>
      </c>
      <c r="T116" s="143">
        <v>0.22359199700439195</v>
      </c>
      <c r="U116" s="143">
        <v>0.41465785174676983</v>
      </c>
      <c r="V116" s="143">
        <v>0.18375940930296908</v>
      </c>
      <c r="W116" s="143">
        <v>0.21369901559282845</v>
      </c>
      <c r="X116" s="143">
        <v>0.13083513628406807</v>
      </c>
      <c r="Y116" s="143">
        <v>0.65843670979297308</v>
      </c>
    </row>
    <row r="117" spans="19:25">
      <c r="S117" s="143">
        <v>0.3772617083722582</v>
      </c>
      <c r="T117" s="143">
        <v>0.23752382747649689</v>
      </c>
      <c r="U117" s="143">
        <v>0.39744626802037164</v>
      </c>
      <c r="V117" s="143">
        <v>0.3048821627430362</v>
      </c>
      <c r="W117" s="143">
        <v>0.34146268472178198</v>
      </c>
      <c r="X117" s="143">
        <v>0.1415952547731662</v>
      </c>
      <c r="Y117" s="143">
        <v>0.63112803208823187</v>
      </c>
    </row>
    <row r="118" spans="19:25">
      <c r="S118" s="143">
        <v>0.3778021048148682</v>
      </c>
      <c r="T118" s="143">
        <v>0.23872888238005235</v>
      </c>
      <c r="U118" s="143">
        <v>0.43333429528161721</v>
      </c>
      <c r="V118" s="143">
        <v>0.2078841630843733</v>
      </c>
      <c r="W118" s="143">
        <v>0.34367431201946141</v>
      </c>
      <c r="X118" s="143">
        <v>0.12457124972921332</v>
      </c>
      <c r="Y118" s="143">
        <v>0.65448829884489867</v>
      </c>
    </row>
    <row r="119" spans="19:25">
      <c r="S119" s="143">
        <v>0.36760224544932585</v>
      </c>
      <c r="T119" s="143">
        <v>0.22829993178972305</v>
      </c>
      <c r="U119" s="143">
        <v>0.40176189860432387</v>
      </c>
      <c r="V119" s="143">
        <v>0.27801927536521998</v>
      </c>
      <c r="W119" s="143">
        <v>0.37323675554952307</v>
      </c>
      <c r="X119" s="143">
        <v>0.2353708150105106</v>
      </c>
      <c r="Y119" s="143">
        <v>0.64408159654521391</v>
      </c>
    </row>
    <row r="120" spans="19:25">
      <c r="S120" s="143">
        <v>0.36977938574577779</v>
      </c>
      <c r="T120" s="143">
        <v>0.23099692755437518</v>
      </c>
      <c r="U120" s="143">
        <v>0.33581223345891642</v>
      </c>
      <c r="V120" s="143">
        <v>0.22939359699355905</v>
      </c>
      <c r="W120" s="143">
        <v>0.3141117636858537</v>
      </c>
      <c r="X120" s="143">
        <v>0.16560501256102811</v>
      </c>
      <c r="Y120" s="143">
        <v>0.62647888985080569</v>
      </c>
    </row>
    <row r="121" spans="19:25">
      <c r="S121" s="143">
        <v>0.38591030995405062</v>
      </c>
      <c r="T121" s="143">
        <v>0.24270686766834162</v>
      </c>
      <c r="U121" s="143">
        <v>0.37139321641290984</v>
      </c>
      <c r="V121" s="143">
        <v>0.259395994507443</v>
      </c>
      <c r="W121" s="143">
        <v>0.52974895963098023</v>
      </c>
      <c r="X121" s="143">
        <v>0.27139362982862214</v>
      </c>
      <c r="Y121" s="143">
        <v>0.6546319635523844</v>
      </c>
    </row>
    <row r="122" spans="19:25">
      <c r="S122" s="143">
        <v>0.36758254545468366</v>
      </c>
      <c r="T122" s="143">
        <v>0.23100183028277302</v>
      </c>
      <c r="U122" s="143">
        <v>0.38632461096983167</v>
      </c>
      <c r="V122" s="143">
        <v>0.24944439634597418</v>
      </c>
      <c r="W122" s="143">
        <v>0.2467126778827792</v>
      </c>
      <c r="X122" s="143">
        <v>0.10177087750157186</v>
      </c>
      <c r="Y122" s="143">
        <v>0.64421932996140985</v>
      </c>
    </row>
  </sheetData>
  <mergeCells count="75">
    <mergeCell ref="AF4:AH4"/>
    <mergeCell ref="AC1:AG1"/>
    <mergeCell ref="O2:Q2"/>
    <mergeCell ref="S2:Y2"/>
    <mergeCell ref="AK2:AO2"/>
    <mergeCell ref="AF3:AH3"/>
    <mergeCell ref="AF5:AH5"/>
    <mergeCell ref="B6:I6"/>
    <mergeCell ref="K6:Q6"/>
    <mergeCell ref="K7:Q13"/>
    <mergeCell ref="B13:D13"/>
    <mergeCell ref="F13:H13"/>
    <mergeCell ref="P17:Q17"/>
    <mergeCell ref="C14:D14"/>
    <mergeCell ref="F14:H14"/>
    <mergeCell ref="B15:Q15"/>
    <mergeCell ref="C16:F16"/>
    <mergeCell ref="I16:L16"/>
    <mergeCell ref="N16:Q16"/>
    <mergeCell ref="C17:D17"/>
    <mergeCell ref="E17:F17"/>
    <mergeCell ref="I17:J17"/>
    <mergeCell ref="K17:L17"/>
    <mergeCell ref="N17:O17"/>
    <mergeCell ref="P18:P19"/>
    <mergeCell ref="S18:Y18"/>
    <mergeCell ref="B20:B21"/>
    <mergeCell ref="C20:C21"/>
    <mergeCell ref="E20:E21"/>
    <mergeCell ref="I20:I21"/>
    <mergeCell ref="K20:K21"/>
    <mergeCell ref="N20:N21"/>
    <mergeCell ref="P20:P21"/>
    <mergeCell ref="S20:T20"/>
    <mergeCell ref="B18:B19"/>
    <mergeCell ref="C18:C19"/>
    <mergeCell ref="E18:E19"/>
    <mergeCell ref="I18:I19"/>
    <mergeCell ref="K18:K19"/>
    <mergeCell ref="N18:N19"/>
    <mergeCell ref="U20:V20"/>
    <mergeCell ref="W20:Y20"/>
    <mergeCell ref="B22:B23"/>
    <mergeCell ref="C22:C23"/>
    <mergeCell ref="E22:E23"/>
    <mergeCell ref="I22:I23"/>
    <mergeCell ref="K22:K23"/>
    <mergeCell ref="N22:N23"/>
    <mergeCell ref="P22:P23"/>
    <mergeCell ref="I24:L24"/>
    <mergeCell ref="N24:Q24"/>
    <mergeCell ref="B25:Q25"/>
    <mergeCell ref="C26:F26"/>
    <mergeCell ref="I26:L26"/>
    <mergeCell ref="N26:O26"/>
    <mergeCell ref="C27:F27"/>
    <mergeCell ref="C28:F28"/>
    <mergeCell ref="B31:Q31"/>
    <mergeCell ref="B33:G33"/>
    <mergeCell ref="I33:N33"/>
    <mergeCell ref="P33:P34"/>
    <mergeCell ref="C34:G34"/>
    <mergeCell ref="J34:N34"/>
    <mergeCell ref="B51:Q51"/>
    <mergeCell ref="C35:G35"/>
    <mergeCell ref="K35:N35"/>
    <mergeCell ref="C36:G36"/>
    <mergeCell ref="K36:N36"/>
    <mergeCell ref="C37:G37"/>
    <mergeCell ref="K37:N37"/>
    <mergeCell ref="P35:P37"/>
    <mergeCell ref="B47:Q47"/>
    <mergeCell ref="B48:Q48"/>
    <mergeCell ref="B49:Q49"/>
    <mergeCell ref="B50:Q50"/>
  </mergeCell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9137" r:id="rId3" name="Button 1">
              <controlPr defaultSize="0" print="0" autoFill="0" autoPict="0" macro="[0]!ThisWorkbook.unmeas_conf">
                <anchor moveWithCells="1" sizeWithCells="1">
                  <from>
                    <xdr:col>11</xdr:col>
                    <xdr:colOff>254000</xdr:colOff>
                    <xdr:row>11</xdr:row>
                    <xdr:rowOff>88900</xdr:rowOff>
                  </from>
                  <to>
                    <xdr:col>15</xdr:col>
                    <xdr:colOff>88900</xdr:colOff>
                    <xdr:row>13</xdr:row>
                    <xdr:rowOff>63500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A7122-3A29-844D-93EA-6A5EA72F6024}">
  <sheetPr codeName="Sheet7"/>
  <dimension ref="B1:BH70"/>
  <sheetViews>
    <sheetView zoomScale="90" zoomScaleNormal="90" workbookViewId="0">
      <selection activeCell="C27" sqref="C27:F27"/>
    </sheetView>
  </sheetViews>
  <sheetFormatPr defaultColWidth="9.1796875" defaultRowHeight="12.5"/>
  <cols>
    <col min="1" max="1" width="2.81640625" style="142" customWidth="1"/>
    <col min="2" max="2" width="16.36328125" style="142" customWidth="1"/>
    <col min="3" max="3" width="7.81640625" style="142" customWidth="1"/>
    <col min="4" max="4" width="3" style="142" customWidth="1"/>
    <col min="5" max="5" width="6.6328125" style="142" customWidth="1"/>
    <col min="6" max="6" width="3.453125" style="142" customWidth="1"/>
    <col min="7" max="7" width="5.1796875" style="142" customWidth="1"/>
    <col min="8" max="8" width="10" style="142" customWidth="1"/>
    <col min="9" max="9" width="4.36328125" style="142" customWidth="1"/>
    <col min="10" max="10" width="7.453125" style="142" customWidth="1"/>
    <col min="11" max="11" width="3.36328125" style="142" customWidth="1"/>
    <col min="12" max="12" width="4.6328125" style="142" customWidth="1"/>
    <col min="13" max="13" width="7.6328125" style="142" customWidth="1"/>
    <col min="14" max="14" width="3.1796875" style="142" customWidth="1"/>
    <col min="15" max="15" width="9.6328125" style="142" customWidth="1"/>
    <col min="16" max="16" width="7.36328125" style="142" customWidth="1"/>
    <col min="17" max="17" width="8.453125" style="142" customWidth="1"/>
    <col min="18" max="18" width="6.90625" style="142" customWidth="1"/>
    <col min="19" max="19" width="4.453125" style="142" bestFit="1" customWidth="1"/>
    <col min="20" max="20" width="4.6328125" style="142" customWidth="1"/>
    <col min="21" max="21" width="7.1796875" style="143" customWidth="1"/>
    <col min="22" max="22" width="6.6328125" style="143" customWidth="1"/>
    <col min="23" max="23" width="6.6328125" style="143" bestFit="1" customWidth="1"/>
    <col min="24" max="24" width="6" style="142" customWidth="1"/>
    <col min="25" max="25" width="9.36328125" style="142" customWidth="1"/>
    <col min="26" max="26" width="6.453125" style="142" customWidth="1"/>
    <col min="27" max="27" width="8.453125" style="142" customWidth="1"/>
    <col min="28" max="28" width="6.453125" style="166" customWidth="1"/>
    <col min="29" max="29" width="11.453125" style="142" customWidth="1"/>
    <col min="30" max="46" width="9.1796875" style="142"/>
    <col min="47" max="52" width="9.1796875" style="2"/>
    <col min="53" max="53" width="0" style="2" hidden="1" customWidth="1"/>
    <col min="54" max="54" width="12.81640625" style="2" hidden="1" customWidth="1"/>
    <col min="55" max="55" width="14.6328125" style="2" customWidth="1"/>
    <col min="56" max="57" width="0" style="2" hidden="1" customWidth="1"/>
    <col min="58" max="58" width="23.08984375" style="2" hidden="1" customWidth="1"/>
    <col min="59" max="60" width="9.1796875" style="2"/>
    <col min="61" max="16384" width="9.1796875" style="142"/>
  </cols>
  <sheetData>
    <row r="1" spans="2:58" ht="5.25" customHeight="1">
      <c r="Z1" s="364"/>
      <c r="AA1" s="364"/>
      <c r="AB1" s="364"/>
    </row>
    <row r="2" spans="2:58" ht="29.5" thickBot="1">
      <c r="B2" s="145" t="s">
        <v>110</v>
      </c>
      <c r="C2" s="145"/>
      <c r="D2" s="145"/>
      <c r="E2" s="145"/>
      <c r="F2" s="145"/>
      <c r="G2" s="145"/>
      <c r="H2" s="145"/>
      <c r="I2" s="145"/>
      <c r="J2" s="145"/>
      <c r="K2" s="145"/>
      <c r="L2" s="145"/>
      <c r="M2" s="145"/>
      <c r="N2" s="145"/>
      <c r="O2" s="145"/>
      <c r="P2" s="365" t="s">
        <v>74</v>
      </c>
      <c r="Q2" s="365"/>
      <c r="R2" s="365"/>
      <c r="S2" s="146"/>
      <c r="T2" s="146"/>
      <c r="U2" s="147" t="s">
        <v>95</v>
      </c>
      <c r="V2" s="147"/>
      <c r="W2" s="147"/>
      <c r="Y2" s="144"/>
      <c r="Z2" s="148" t="s">
        <v>41</v>
      </c>
      <c r="AA2" s="148" t="str">
        <f>C7</f>
        <v>Alpha</v>
      </c>
      <c r="AB2" s="148" t="str">
        <f>E7</f>
        <v>Beta</v>
      </c>
      <c r="AC2" s="148" t="s">
        <v>152</v>
      </c>
      <c r="AK2" s="366" t="s">
        <v>55</v>
      </c>
      <c r="AL2" s="366"/>
      <c r="AM2" s="366"/>
      <c r="AN2" s="366"/>
      <c r="AO2" s="366"/>
      <c r="AP2" s="143"/>
      <c r="AW2" s="252" t="s">
        <v>191</v>
      </c>
      <c r="AX2" s="252" t="s">
        <v>192</v>
      </c>
      <c r="AY2" s="252" t="s">
        <v>193</v>
      </c>
      <c r="AZ2" s="252" t="s">
        <v>194</v>
      </c>
      <c r="BA2" s="252" t="s">
        <v>195</v>
      </c>
      <c r="BB2" s="252" t="s">
        <v>196</v>
      </c>
      <c r="BC2" s="252" t="s">
        <v>197</v>
      </c>
      <c r="BD2" s="252"/>
      <c r="BE2" s="252"/>
      <c r="BF2" s="252" t="s">
        <v>198</v>
      </c>
    </row>
    <row r="3" spans="2:58" ht="13.5" thickTop="1">
      <c r="B3" s="149" t="s">
        <v>8</v>
      </c>
      <c r="U3" s="143" t="s">
        <v>47</v>
      </c>
      <c r="W3" s="143">
        <f ca="1">J26</f>
        <v>1.5497132726600966</v>
      </c>
      <c r="Y3" s="150" t="str">
        <f>B8</f>
        <v>S(Mobile+,Melanoma+)</v>
      </c>
      <c r="Z3" s="151">
        <f ca="1">RAND()</f>
        <v>0.33716879097224939</v>
      </c>
      <c r="AA3" s="152">
        <f>C8</f>
        <v>139</v>
      </c>
      <c r="AB3" s="152">
        <f>E8</f>
        <v>5.0999999999999996</v>
      </c>
      <c r="AC3" s="152">
        <f ca="1">BETAINV(Z3,AA3,AB3)</f>
        <v>0.96010005004691923</v>
      </c>
      <c r="AK3" s="148" t="s">
        <v>54</v>
      </c>
      <c r="AL3" s="148" t="str">
        <f>Y12</f>
        <v>S1,1</v>
      </c>
      <c r="AM3" s="148" t="str">
        <f>Z12</f>
        <v>S1,0</v>
      </c>
      <c r="AN3" s="148" t="str">
        <f>AA12</f>
        <v>S0,1</v>
      </c>
      <c r="AO3" s="148" t="str">
        <f>AB12</f>
        <v>S0,0</v>
      </c>
      <c r="AP3" s="148" t="str">
        <f>AL3</f>
        <v>S1,1</v>
      </c>
      <c r="AQ3" s="148" t="str">
        <f>AM3</f>
        <v>S1,0</v>
      </c>
      <c r="AR3" s="148" t="str">
        <f>AN3</f>
        <v>S0,1</v>
      </c>
      <c r="AS3" s="148" t="str">
        <f>AO3</f>
        <v>S0,0</v>
      </c>
      <c r="AW3" s="251" t="s">
        <v>199</v>
      </c>
      <c r="AX3" s="251">
        <f>IF((C17/C21)/(E17/E21)&gt;0,(C17/C21)/(E17/E21),"")</f>
        <v>1.1784949578671089</v>
      </c>
      <c r="AY3" s="251">
        <f>IF(AX3&lt;&gt;"",AX3-EXP(LN((C17/C21)/(E17/E21))-1.96*W5),"")</f>
        <v>0.22737966405060284</v>
      </c>
      <c r="AZ3" s="251">
        <f>IF(AX3&lt;&gt;"",EXP(LN((C17/C21)/(E17/E21))+1.96*W5)-AX3,"")</f>
        <v>0.28173849095612358</v>
      </c>
      <c r="BA3" s="251"/>
      <c r="BB3" s="251"/>
      <c r="BC3" s="251">
        <v>2.5</v>
      </c>
      <c r="BD3" s="251"/>
      <c r="BE3" s="251"/>
      <c r="BF3" s="251">
        <f>MIN($F$3:$F$17)</f>
        <v>0</v>
      </c>
    </row>
    <row r="4" spans="2:58">
      <c r="U4" s="143" t="s">
        <v>48</v>
      </c>
      <c r="W4" s="143">
        <f ca="1">J27</f>
        <v>1.7223096229891701</v>
      </c>
      <c r="Y4" s="143" t="str">
        <f>B9</f>
        <v>S(Mobile+,Melanoma-)</v>
      </c>
      <c r="Z4" s="153">
        <f ca="1">RAND()</f>
        <v>0.63542168350597095</v>
      </c>
      <c r="AA4" s="154">
        <f>C9</f>
        <v>369</v>
      </c>
      <c r="AB4" s="154">
        <f>E9</f>
        <v>96.1</v>
      </c>
      <c r="AC4" s="154">
        <f ca="1">BETAINV(Z4,AA4,AB4)</f>
        <v>0.80024587328699348</v>
      </c>
      <c r="AK4" s="154">
        <v>0</v>
      </c>
      <c r="AL4" s="143">
        <f t="array" ref="AL4:AL54">FREQUENCY(Y22:Y50022,AK4:AK54)</f>
        <v>0</v>
      </c>
      <c r="AM4" s="143">
        <f t="array" ref="AM4:AM54">FREQUENCY(Z22:Z50023,AK4:AK54)</f>
        <v>0</v>
      </c>
      <c r="AN4" s="143">
        <f t="array" ref="AN4:AN54">FREQUENCY(AA22:AA50022,AK4:AK54)</f>
        <v>0</v>
      </c>
      <c r="AO4" s="143">
        <f t="array" ref="AO4:AO54">FREQUENCY(AB22:AB50023,AK4:AK54)</f>
        <v>0</v>
      </c>
      <c r="AP4" s="155">
        <f t="shared" ref="AP4:AP35" si="0">AL4/AL$55</f>
        <v>0</v>
      </c>
      <c r="AQ4" s="155">
        <f t="shared" ref="AQ4:AQ35" si="1">AM4/AM$55</f>
        <v>0</v>
      </c>
      <c r="AR4" s="155">
        <f t="shared" ref="AR4:AR35" si="2">AN4/AN$55</f>
        <v>0</v>
      </c>
      <c r="AS4" s="155">
        <f t="shared" ref="AS4:AS35" si="3">AO4/AO$55</f>
        <v>0</v>
      </c>
      <c r="AW4" s="251" t="s">
        <v>200</v>
      </c>
      <c r="AX4" s="251">
        <f>IF(U14&lt;&gt;"",PERCENTILE(U14:U50005,0.5),"")</f>
        <v>1.4787489287035953</v>
      </c>
      <c r="AY4" s="251">
        <f>IF(U14&lt;&gt;"",AX4-PERCENTILE(U14:U50005,0.025),"")</f>
        <v>9.7680006863923197E-2</v>
      </c>
      <c r="AZ4" s="251">
        <f>IF(U14&lt;&gt;"",PERCENTILE(U14:U50005,0.975)-AX4,"")</f>
        <v>0.12022307640502894</v>
      </c>
      <c r="BA4" s="251"/>
      <c r="BB4" s="251"/>
      <c r="BC4" s="251">
        <v>1.5</v>
      </c>
      <c r="BD4" s="251"/>
      <c r="BE4" s="251"/>
      <c r="BF4" s="251">
        <f>MIN($F$3:$F$17)</f>
        <v>0</v>
      </c>
    </row>
    <row r="5" spans="2:58">
      <c r="U5" s="143" t="s">
        <v>3</v>
      </c>
      <c r="W5" s="143">
        <f>SQRT(1/C17+1/E17-1/C21-1/E21)</f>
        <v>0.10936640532663433</v>
      </c>
      <c r="Y5" s="143" t="str">
        <f>B10</f>
        <v>S(Mobile-,Melanoma+)</v>
      </c>
      <c r="Z5" s="153">
        <f ca="1">RAND()</f>
        <v>0.7913971124766308</v>
      </c>
      <c r="AA5" s="154">
        <f>C10</f>
        <v>114</v>
      </c>
      <c r="AB5" s="154">
        <f>E10</f>
        <v>11.9</v>
      </c>
      <c r="AC5" s="154">
        <f ca="1">BETAINV(Z5,AA5,AB5)</f>
        <v>0.92714073350436621</v>
      </c>
      <c r="AK5" s="154">
        <f t="shared" ref="AK5:AK36" si="4">AK4+0.02</f>
        <v>0.02</v>
      </c>
      <c r="AL5" s="143">
        <v>0</v>
      </c>
      <c r="AM5" s="143">
        <v>0</v>
      </c>
      <c r="AN5" s="143">
        <v>0</v>
      </c>
      <c r="AO5" s="143">
        <v>0</v>
      </c>
      <c r="AP5" s="155">
        <f t="shared" si="0"/>
        <v>0</v>
      </c>
      <c r="AQ5" s="155">
        <f t="shared" si="1"/>
        <v>0</v>
      </c>
      <c r="AR5" s="155">
        <f t="shared" si="2"/>
        <v>0</v>
      </c>
      <c r="AS5" s="155">
        <f t="shared" si="3"/>
        <v>0</v>
      </c>
      <c r="AW5" s="251" t="s">
        <v>67</v>
      </c>
      <c r="AX5" s="251">
        <f>IF(W14&lt;&gt;"",PERCENTILE(W14:W50005,0.5),"")</f>
        <v>1.5377483857270717</v>
      </c>
      <c r="AY5" s="253">
        <f>IF(W14&lt;&gt;"",AX5-PERCENTILE(W14:W50005,0.025),"")</f>
        <v>0.19610855401497496</v>
      </c>
      <c r="AZ5" s="253">
        <f>IF(W14&lt;&gt;"",PERCENTILE(W14:W50005,0.975)-AX5,"")</f>
        <v>0.22268333422970343</v>
      </c>
      <c r="BA5" s="251"/>
      <c r="BB5" s="251"/>
      <c r="BC5" s="251">
        <v>0.5</v>
      </c>
      <c r="BD5" s="251"/>
      <c r="BE5" s="251"/>
      <c r="BF5" s="251">
        <f>MIN($F$3:$F$17)</f>
        <v>0</v>
      </c>
    </row>
    <row r="6" spans="2:58" ht="13">
      <c r="B6" s="357" t="s">
        <v>7</v>
      </c>
      <c r="C6" s="357"/>
      <c r="D6" s="357"/>
      <c r="E6" s="357"/>
      <c r="F6" s="357"/>
      <c r="G6" s="357"/>
      <c r="H6" s="357"/>
      <c r="I6" s="357"/>
      <c r="K6" s="358" t="s">
        <v>5</v>
      </c>
      <c r="L6" s="358"/>
      <c r="M6" s="358"/>
      <c r="N6" s="358"/>
      <c r="O6" s="358"/>
      <c r="P6" s="358"/>
      <c r="Q6" s="358"/>
      <c r="R6" s="358"/>
      <c r="S6" s="156"/>
      <c r="T6" s="156"/>
      <c r="U6" s="143" t="s">
        <v>2</v>
      </c>
      <c r="W6" s="143">
        <f>SQRT(1/C17+1/E17+1/C19+1/E19)</f>
        <v>0.14604356001908525</v>
      </c>
      <c r="Y6" s="147" t="str">
        <f>B11</f>
        <v>S(Mobile-,Melanoma-)</v>
      </c>
      <c r="Z6" s="157">
        <f ca="1">RAND()</f>
        <v>0.25995145484741233</v>
      </c>
      <c r="AA6" s="158">
        <f>C11</f>
        <v>377</v>
      </c>
      <c r="AB6" s="158">
        <f>E11</f>
        <v>282.89999999999998</v>
      </c>
      <c r="AC6" s="158">
        <f ca="1">BETAINV(Z6,AA6,AB6)</f>
        <v>0.55894145072458301</v>
      </c>
      <c r="AK6" s="154">
        <f t="shared" si="4"/>
        <v>0.04</v>
      </c>
      <c r="AL6" s="143">
        <v>0</v>
      </c>
      <c r="AM6" s="143">
        <v>0</v>
      </c>
      <c r="AN6" s="143">
        <v>0</v>
      </c>
      <c r="AO6" s="143">
        <v>0</v>
      </c>
      <c r="AP6" s="155">
        <f t="shared" si="0"/>
        <v>0</v>
      </c>
      <c r="AQ6" s="155">
        <f t="shared" si="1"/>
        <v>0</v>
      </c>
      <c r="AR6" s="155">
        <f t="shared" si="2"/>
        <v>0</v>
      </c>
      <c r="AS6" s="155">
        <f t="shared" si="3"/>
        <v>0</v>
      </c>
    </row>
    <row r="7" spans="2:58" ht="15.75" customHeight="1">
      <c r="C7" s="1" t="s">
        <v>104</v>
      </c>
      <c r="D7" s="1"/>
      <c r="E7" s="1" t="s">
        <v>101</v>
      </c>
      <c r="F7" s="160"/>
      <c r="G7" s="203" t="s">
        <v>154</v>
      </c>
      <c r="H7" s="204"/>
      <c r="I7" s="161"/>
      <c r="K7" s="160" t="s">
        <v>151</v>
      </c>
      <c r="L7" s="162"/>
      <c r="M7" s="162"/>
      <c r="N7" s="162"/>
      <c r="O7" s="162"/>
      <c r="P7" s="162"/>
      <c r="Q7" s="162"/>
      <c r="R7" s="162"/>
      <c r="S7" s="163"/>
      <c r="T7" s="163"/>
      <c r="U7" s="143" t="s">
        <v>93</v>
      </c>
      <c r="W7" s="164">
        <f ca="1">IF(W9=TRUE,"",EXP(LN(W3)-W5*NORMINV(RAND(),0,1)))</f>
        <v>1.686798442390222</v>
      </c>
      <c r="Y7" s="165"/>
      <c r="AK7" s="154">
        <f t="shared" si="4"/>
        <v>0.06</v>
      </c>
      <c r="AL7" s="143">
        <v>0</v>
      </c>
      <c r="AM7" s="143">
        <v>0</v>
      </c>
      <c r="AN7" s="143">
        <v>0</v>
      </c>
      <c r="AO7" s="143">
        <v>0</v>
      </c>
      <c r="AP7" s="155">
        <f t="shared" si="0"/>
        <v>0</v>
      </c>
      <c r="AQ7" s="155">
        <f t="shared" si="1"/>
        <v>0</v>
      </c>
      <c r="AR7" s="155">
        <f t="shared" si="2"/>
        <v>0</v>
      </c>
      <c r="AS7" s="155">
        <f t="shared" si="3"/>
        <v>0</v>
      </c>
      <c r="AW7" s="252" t="s">
        <v>191</v>
      </c>
      <c r="AX7" s="252" t="s">
        <v>192</v>
      </c>
      <c r="AY7" s="252" t="s">
        <v>193</v>
      </c>
      <c r="AZ7" s="252" t="s">
        <v>194</v>
      </c>
      <c r="BA7" s="252" t="s">
        <v>195</v>
      </c>
      <c r="BB7" s="252" t="s">
        <v>196</v>
      </c>
      <c r="BC7" s="252" t="s">
        <v>197</v>
      </c>
      <c r="BD7" s="252"/>
      <c r="BE7" s="252"/>
      <c r="BF7" s="252" t="s">
        <v>198</v>
      </c>
    </row>
    <row r="8" spans="2:58" ht="15" customHeight="1">
      <c r="B8" s="167" t="str">
        <f>IF(K8&lt;&gt;"",IF(K9&lt;&gt;"",CONCATENATE("S(",K8,"+,",K9,"+)"),CONCATENATE("S(",K8,"+,E+)")),IF(K9&lt;&gt;"",CONCATENATE("S(D+,",K8,"+)"),"S(D+,E+)"))</f>
        <v>S(Mobile+,Melanoma+)</v>
      </c>
      <c r="C8" s="205">
        <v>139</v>
      </c>
      <c r="D8" s="206"/>
      <c r="E8" s="205">
        <v>5.0999999999999996</v>
      </c>
      <c r="F8" s="168"/>
      <c r="G8" s="171">
        <f>C8/(C8+E8)</f>
        <v>0.96460791117279676</v>
      </c>
      <c r="H8" s="171"/>
      <c r="I8" s="160" t="s">
        <v>10</v>
      </c>
      <c r="K8" s="352" t="s">
        <v>79</v>
      </c>
      <c r="L8" s="352"/>
      <c r="M8" s="352"/>
      <c r="N8" s="162"/>
      <c r="O8" s="162"/>
      <c r="P8" s="162"/>
      <c r="Q8" s="162"/>
      <c r="R8" s="162"/>
      <c r="S8" s="163"/>
      <c r="T8" s="163"/>
      <c r="U8" s="143" t="s">
        <v>94</v>
      </c>
      <c r="W8" s="164">
        <f ca="1">IF(W9=TRUE,"",EXP(LN(W4)-W6*NORMINV(RAND(),0,1)))</f>
        <v>1.5191992860183678</v>
      </c>
      <c r="AK8" s="154">
        <f t="shared" si="4"/>
        <v>0.08</v>
      </c>
      <c r="AL8" s="143">
        <v>0</v>
      </c>
      <c r="AM8" s="143">
        <v>0</v>
      </c>
      <c r="AN8" s="143">
        <v>0</v>
      </c>
      <c r="AO8" s="143">
        <v>0</v>
      </c>
      <c r="AP8" s="155">
        <f t="shared" si="0"/>
        <v>0</v>
      </c>
      <c r="AQ8" s="155">
        <f t="shared" si="1"/>
        <v>0</v>
      </c>
      <c r="AR8" s="155">
        <f t="shared" si="2"/>
        <v>0</v>
      </c>
      <c r="AS8" s="155">
        <f t="shared" si="3"/>
        <v>0</v>
      </c>
      <c r="AW8" s="251" t="s">
        <v>199</v>
      </c>
      <c r="AX8" s="251">
        <f>IF((C17/C19)/(E17/E19)&gt;0,(C17/C19)/(E17/E19),"")</f>
        <v>1.2457328959254506</v>
      </c>
      <c r="AY8" s="251">
        <f>IF(AX8&lt;&gt;"",AX8-EXP(LN((C17/C19)/(E17/E19))-1.96*W6),"")</f>
        <v>0.31008995578543608</v>
      </c>
      <c r="AZ8" s="251">
        <f>IF(AX8&lt;&gt;"",EXP(LN((C17/C19)/(E17/E19))+1.96*W6)-AX8,"")</f>
        <v>0.41285969470381501</v>
      </c>
      <c r="BA8" s="251"/>
      <c r="BB8" s="251"/>
      <c r="BC8" s="251">
        <v>2.5</v>
      </c>
      <c r="BD8" s="251"/>
      <c r="BE8" s="251"/>
      <c r="BF8" s="251">
        <f>MIN($F$3:$F$17)</f>
        <v>0</v>
      </c>
    </row>
    <row r="9" spans="2:58" ht="13">
      <c r="B9" s="167" t="str">
        <f>IF(K8&lt;&gt;"",IF(K9&lt;&gt;"",CONCATENATE("S(",K8,"+,",K9,"-)"),CONCATENATE("S(",K8,"+,E-)")),IF(K9&lt;&gt;"",CONCATENATE("S(D+,",K9,"-)"),"S(D+,E-)"))</f>
        <v>S(Mobile+,Melanoma-)</v>
      </c>
      <c r="C9" s="205">
        <v>369</v>
      </c>
      <c r="D9" s="206"/>
      <c r="E9" s="205">
        <v>96.1</v>
      </c>
      <c r="F9" s="168"/>
      <c r="G9" s="171">
        <f t="shared" ref="G9:G11" si="5">C9/(C9+E9)</f>
        <v>0.79337776822188777</v>
      </c>
      <c r="H9" s="171"/>
      <c r="I9" s="160" t="s">
        <v>11</v>
      </c>
      <c r="K9" s="352" t="s">
        <v>80</v>
      </c>
      <c r="L9" s="352"/>
      <c r="M9" s="352"/>
      <c r="N9" s="162"/>
      <c r="O9" s="162"/>
      <c r="P9" s="162"/>
      <c r="Q9" s="162"/>
      <c r="R9" s="162"/>
      <c r="S9" s="163"/>
      <c r="T9" s="163"/>
      <c r="U9" s="143" t="s">
        <v>150</v>
      </c>
      <c r="W9" s="143" t="b">
        <f ca="1">OR(H17&lt;=0,J17&lt;=0,H19&lt;=0,J19&lt;=0)</f>
        <v>0</v>
      </c>
      <c r="AK9" s="154">
        <f t="shared" si="4"/>
        <v>0.1</v>
      </c>
      <c r="AL9" s="143">
        <v>0</v>
      </c>
      <c r="AM9" s="143">
        <v>0</v>
      </c>
      <c r="AN9" s="143">
        <v>0</v>
      </c>
      <c r="AO9" s="143">
        <v>0</v>
      </c>
      <c r="AP9" s="155">
        <f t="shared" si="0"/>
        <v>0</v>
      </c>
      <c r="AQ9" s="155">
        <f t="shared" si="1"/>
        <v>0</v>
      </c>
      <c r="AR9" s="155">
        <f t="shared" si="2"/>
        <v>0</v>
      </c>
      <c r="AS9" s="155">
        <f t="shared" si="3"/>
        <v>0</v>
      </c>
      <c r="AW9" s="251" t="s">
        <v>200</v>
      </c>
      <c r="AX9" s="251">
        <f>IF(V14&lt;&gt;"",PERCENTILE(V14:V50005,0.5),"")</f>
        <v>1.6255774508530192</v>
      </c>
      <c r="AY9" s="251">
        <f>IF(V14&lt;&gt;"",AX9-PERCENTILE(V14:V50005,0.025),"")</f>
        <v>0.12960426950721038</v>
      </c>
      <c r="AZ9" s="251">
        <f>IF(V14&lt;&gt;"",PERCENTILE(V15:V50006,0.975)-AX9,"")</f>
        <v>0.16366530322273509</v>
      </c>
      <c r="BA9" s="251"/>
      <c r="BB9" s="251"/>
      <c r="BC9" s="251">
        <v>1.5</v>
      </c>
      <c r="BD9" s="251"/>
      <c r="BE9" s="251"/>
      <c r="BF9" s="251">
        <f>MIN($F$3:$F$17)</f>
        <v>0</v>
      </c>
    </row>
    <row r="10" spans="2:58" ht="13">
      <c r="B10" s="167" t="str">
        <f>IF(K8&lt;&gt;"",IF(K9&lt;&gt;"",CONCATENATE("S(",K8,"-,",K9,"+)"),CONCATENATE("S(",K8,"-,E+)")),IF(K9&lt;&gt;"",CONCATENATE("S(D-,",K9,"+)"),"S(D-,E+)"))</f>
        <v>S(Mobile-,Melanoma+)</v>
      </c>
      <c r="C10" s="205">
        <v>114</v>
      </c>
      <c r="D10" s="206"/>
      <c r="E10" s="205">
        <v>11.9</v>
      </c>
      <c r="F10" s="168"/>
      <c r="G10" s="171">
        <f t="shared" si="5"/>
        <v>0.90548054011119927</v>
      </c>
      <c r="H10" s="171"/>
      <c r="I10" s="160" t="s">
        <v>46</v>
      </c>
      <c r="K10" s="368">
        <v>10</v>
      </c>
      <c r="L10" s="368"/>
      <c r="M10" s="368"/>
      <c r="N10" s="162"/>
      <c r="O10" s="162"/>
      <c r="P10" s="162"/>
      <c r="Q10" s="162"/>
      <c r="R10" s="162"/>
      <c r="S10" s="163"/>
      <c r="T10" s="163"/>
      <c r="AB10" s="169"/>
      <c r="AK10" s="154">
        <f t="shared" si="4"/>
        <v>0.12000000000000001</v>
      </c>
      <c r="AL10" s="143">
        <v>0</v>
      </c>
      <c r="AM10" s="143">
        <v>0</v>
      </c>
      <c r="AN10" s="143">
        <v>0</v>
      </c>
      <c r="AO10" s="143">
        <v>0</v>
      </c>
      <c r="AP10" s="155">
        <f t="shared" si="0"/>
        <v>0</v>
      </c>
      <c r="AQ10" s="155">
        <f t="shared" si="1"/>
        <v>0</v>
      </c>
      <c r="AR10" s="155">
        <f t="shared" si="2"/>
        <v>0</v>
      </c>
      <c r="AS10" s="155">
        <f t="shared" si="3"/>
        <v>0</v>
      </c>
      <c r="AW10" s="251" t="s">
        <v>67</v>
      </c>
      <c r="AX10" s="251">
        <f>IF(X14&lt;&gt;"",PERCENTILE(X14:X50005,0.5),"")</f>
        <v>1.5197729008696719</v>
      </c>
      <c r="AY10" s="253">
        <f>IF(X14&lt;&gt;"",AX10-PERCENTILE(X14:X50005,0.025),"")</f>
        <v>0.22091446095740785</v>
      </c>
      <c r="AZ10" s="253">
        <f>IF(X14&lt;&gt;"",PERCENTILE(X14:X50005,0.975)-AX10,"")</f>
        <v>0.47590103684270413</v>
      </c>
      <c r="BA10" s="251"/>
      <c r="BB10" s="251"/>
      <c r="BC10" s="251">
        <v>0.5</v>
      </c>
      <c r="BD10" s="251"/>
      <c r="BE10" s="251"/>
      <c r="BF10" s="251">
        <f>MIN($F$3:$F$17)</f>
        <v>0</v>
      </c>
    </row>
    <row r="11" spans="2:58" ht="15.75" customHeight="1">
      <c r="B11" s="167" t="str">
        <f>IF(K8&lt;&gt;"",IF(K9&lt;&gt;"",CONCATENATE("S(",K8,"-,",K9,"-)"),CONCATENATE("S(",K8,"-,E-)")),IF(K9&lt;&gt;"",CONCATENATE("S(D-,",K9,"-)"),"S(D-,E-)"))</f>
        <v>S(Mobile-,Melanoma-)</v>
      </c>
      <c r="C11" s="205">
        <v>377</v>
      </c>
      <c r="D11" s="206"/>
      <c r="E11" s="205">
        <v>282.89999999999998</v>
      </c>
      <c r="F11" s="168"/>
      <c r="G11" s="171">
        <f t="shared" si="5"/>
        <v>0.57129868161842701</v>
      </c>
      <c r="H11" s="171"/>
      <c r="K11" s="162"/>
      <c r="L11" s="162"/>
      <c r="M11" s="162"/>
      <c r="N11" s="162"/>
      <c r="O11" s="162"/>
      <c r="P11" s="162"/>
      <c r="Q11" s="162"/>
      <c r="R11" s="162"/>
      <c r="S11" s="163"/>
      <c r="T11" s="163"/>
      <c r="U11" s="148" t="s">
        <v>70</v>
      </c>
      <c r="V11" s="148"/>
      <c r="W11" s="148" t="s">
        <v>67</v>
      </c>
      <c r="X11" s="148"/>
      <c r="Y11" s="170" t="s">
        <v>53</v>
      </c>
      <c r="Z11" s="170"/>
      <c r="AA11" s="170"/>
      <c r="AB11" s="170"/>
      <c r="AK11" s="154">
        <f t="shared" si="4"/>
        <v>0.14000000000000001</v>
      </c>
      <c r="AL11" s="143">
        <v>0</v>
      </c>
      <c r="AM11" s="143">
        <v>0</v>
      </c>
      <c r="AN11" s="143">
        <v>0</v>
      </c>
      <c r="AO11" s="143">
        <v>0</v>
      </c>
      <c r="AP11" s="155">
        <f t="shared" si="0"/>
        <v>0</v>
      </c>
      <c r="AQ11" s="155">
        <f t="shared" si="1"/>
        <v>0</v>
      </c>
      <c r="AR11" s="155">
        <f t="shared" si="2"/>
        <v>0</v>
      </c>
      <c r="AS11" s="155">
        <f t="shared" si="3"/>
        <v>0</v>
      </c>
    </row>
    <row r="12" spans="2:58" ht="15.75" customHeight="1">
      <c r="E12" s="171"/>
      <c r="F12" s="172"/>
      <c r="G12" s="171"/>
      <c r="H12" s="171"/>
      <c r="I12" s="171"/>
      <c r="K12" s="162"/>
      <c r="L12" s="162"/>
      <c r="M12" s="162"/>
      <c r="N12" s="162"/>
      <c r="O12" s="162"/>
      <c r="P12" s="162"/>
      <c r="Q12" s="162"/>
      <c r="R12" s="162"/>
      <c r="S12" s="163"/>
      <c r="T12" s="163"/>
      <c r="U12" s="148" t="s">
        <v>47</v>
      </c>
      <c r="V12" s="148" t="s">
        <v>48</v>
      </c>
      <c r="W12" s="148" t="str">
        <f>U12</f>
        <v>RR</v>
      </c>
      <c r="X12" s="148" t="str">
        <f>V12</f>
        <v>OR</v>
      </c>
      <c r="Y12" s="148" t="str">
        <f>N26</f>
        <v>S1,1</v>
      </c>
      <c r="Z12" s="148" t="str">
        <f>N27</f>
        <v>S1,0</v>
      </c>
      <c r="AA12" s="148" t="str">
        <f>Q26</f>
        <v>S0,1</v>
      </c>
      <c r="AB12" s="148" t="str">
        <f>Q27</f>
        <v>S0,0</v>
      </c>
      <c r="AK12" s="154">
        <f t="shared" si="4"/>
        <v>0.16</v>
      </c>
      <c r="AL12" s="143">
        <v>0</v>
      </c>
      <c r="AM12" s="143">
        <v>0</v>
      </c>
      <c r="AN12" s="143">
        <v>0</v>
      </c>
      <c r="AO12" s="143">
        <v>0</v>
      </c>
      <c r="AP12" s="155">
        <f t="shared" si="0"/>
        <v>0</v>
      </c>
      <c r="AQ12" s="155">
        <f t="shared" si="1"/>
        <v>0</v>
      </c>
      <c r="AR12" s="155">
        <f t="shared" si="2"/>
        <v>0</v>
      </c>
      <c r="AS12" s="155">
        <f t="shared" si="3"/>
        <v>0</v>
      </c>
    </row>
    <row r="13" spans="2:58" ht="15.75" customHeight="1">
      <c r="I13" s="156"/>
      <c r="K13" s="162"/>
      <c r="L13" s="162"/>
      <c r="M13" s="162"/>
      <c r="N13" s="162"/>
      <c r="O13" s="162"/>
      <c r="P13" s="162"/>
      <c r="Q13" s="162"/>
      <c r="R13" s="162"/>
      <c r="S13" s="163"/>
      <c r="T13" s="163"/>
      <c r="U13" s="158">
        <f ca="1">W3</f>
        <v>1.5497132726600966</v>
      </c>
      <c r="V13" s="158">
        <f ca="1">W4</f>
        <v>1.7223096229891701</v>
      </c>
      <c r="W13" s="173">
        <f ca="1">W7</f>
        <v>1.686798442390222</v>
      </c>
      <c r="X13" s="173">
        <f ca="1">W8</f>
        <v>1.5191992860183678</v>
      </c>
      <c r="Y13" s="173">
        <f ca="1">AC3</f>
        <v>0.96010005004691923</v>
      </c>
      <c r="Z13" s="173">
        <f ca="1">AC4</f>
        <v>0.80024587328699348</v>
      </c>
      <c r="AA13" s="173">
        <f ca="1">AC5</f>
        <v>0.92714073350436621</v>
      </c>
      <c r="AB13" s="173">
        <f ca="1">AC6</f>
        <v>0.55894145072458301</v>
      </c>
      <c r="AK13" s="154">
        <f t="shared" si="4"/>
        <v>0.18</v>
      </c>
      <c r="AL13" s="143">
        <v>0</v>
      </c>
      <c r="AM13" s="143">
        <v>0</v>
      </c>
      <c r="AN13" s="143">
        <v>0</v>
      </c>
      <c r="AO13" s="143">
        <v>0</v>
      </c>
      <c r="AP13" s="155">
        <f t="shared" si="0"/>
        <v>0</v>
      </c>
      <c r="AQ13" s="155">
        <f t="shared" si="1"/>
        <v>0</v>
      </c>
      <c r="AR13" s="155">
        <f t="shared" si="2"/>
        <v>0</v>
      </c>
      <c r="AS13" s="155">
        <f t="shared" si="3"/>
        <v>0</v>
      </c>
    </row>
    <row r="14" spans="2:58" ht="17.25" customHeight="1">
      <c r="B14" s="354" t="str">
        <f>IF(K8&lt;&gt;"",IF(K9&lt;&gt;"",CONCATENATE("Data (Enter Crude ",K8,"-",K9," Data in Blue Cells)"),"Data (Enter Crude Data in Blue Cells)"),"Data (Enter Crude Data in Blue Cells)")</f>
        <v>Data (Enter Crude Mobile-Melanoma Data in Blue Cells)</v>
      </c>
      <c r="C14" s="354"/>
      <c r="D14" s="354"/>
      <c r="E14" s="354"/>
      <c r="F14" s="354"/>
      <c r="G14" s="354"/>
      <c r="H14" s="354"/>
      <c r="I14" s="354"/>
      <c r="J14" s="354"/>
      <c r="K14" s="354"/>
      <c r="L14" s="354"/>
      <c r="M14" s="354"/>
      <c r="N14" s="354"/>
      <c r="O14" s="354"/>
      <c r="P14" s="354"/>
      <c r="Q14" s="354"/>
      <c r="R14" s="354"/>
      <c r="S14" s="163"/>
      <c r="T14" s="163"/>
      <c r="U14" s="143">
        <v>1.4780618606025482</v>
      </c>
      <c r="V14" s="143">
        <v>1.6286771250120771</v>
      </c>
      <c r="W14" s="143">
        <v>1.3144358031054222</v>
      </c>
      <c r="X14" s="143">
        <v>1.5191887617772268</v>
      </c>
      <c r="Y14" s="143">
        <v>0.97702990040674276</v>
      </c>
      <c r="Z14" s="143">
        <v>0.81715475433717033</v>
      </c>
      <c r="AA14" s="143">
        <v>0.91489987240343007</v>
      </c>
      <c r="AB14" s="143">
        <v>0.58527498208543871</v>
      </c>
      <c r="AK14" s="154">
        <f t="shared" si="4"/>
        <v>0.19999999999999998</v>
      </c>
      <c r="AL14" s="143">
        <v>0</v>
      </c>
      <c r="AM14" s="143">
        <v>0</v>
      </c>
      <c r="AN14" s="143">
        <v>0</v>
      </c>
      <c r="AO14" s="143">
        <v>0</v>
      </c>
      <c r="AP14" s="155">
        <f t="shared" si="0"/>
        <v>0</v>
      </c>
      <c r="AQ14" s="155">
        <f t="shared" si="1"/>
        <v>0</v>
      </c>
      <c r="AR14" s="155">
        <f t="shared" si="2"/>
        <v>0</v>
      </c>
      <c r="AS14" s="155">
        <f t="shared" si="3"/>
        <v>0</v>
      </c>
    </row>
    <row r="15" spans="2:58" ht="13.5" thickBot="1">
      <c r="B15" s="174"/>
      <c r="C15" s="355" t="s">
        <v>34</v>
      </c>
      <c r="D15" s="355"/>
      <c r="E15" s="355"/>
      <c r="F15" s="355"/>
      <c r="G15" s="175"/>
      <c r="H15" s="355" t="s">
        <v>145</v>
      </c>
      <c r="I15" s="355"/>
      <c r="J15" s="355"/>
      <c r="K15" s="355"/>
      <c r="L15" s="176"/>
      <c r="M15" s="355" t="s">
        <v>171</v>
      </c>
      <c r="N15" s="355"/>
      <c r="O15" s="355"/>
      <c r="P15" s="355"/>
      <c r="R15" s="162"/>
      <c r="U15" s="143">
        <v>1.3848176552881108</v>
      </c>
      <c r="V15" s="143">
        <v>1.4983070177193207</v>
      </c>
      <c r="W15" s="143">
        <v>1.4965473868973187</v>
      </c>
      <c r="X15" s="143">
        <v>1.6284309498712823</v>
      </c>
      <c r="Y15" s="143">
        <v>0.98418558682145918</v>
      </c>
      <c r="Z15" s="143">
        <v>0.77052854747904953</v>
      </c>
      <c r="AA15" s="143">
        <v>0.92410811581462915</v>
      </c>
      <c r="AB15" s="143">
        <v>0.60153186292465399</v>
      </c>
      <c r="AK15" s="154">
        <f t="shared" si="4"/>
        <v>0.21999999999999997</v>
      </c>
      <c r="AL15" s="143">
        <v>0</v>
      </c>
      <c r="AM15" s="143">
        <v>0</v>
      </c>
      <c r="AN15" s="143">
        <v>0</v>
      </c>
      <c r="AO15" s="143">
        <v>0</v>
      </c>
      <c r="AP15" s="155">
        <f t="shared" si="0"/>
        <v>0</v>
      </c>
      <c r="AQ15" s="155">
        <f t="shared" si="1"/>
        <v>0</v>
      </c>
      <c r="AR15" s="155">
        <f t="shared" si="2"/>
        <v>0</v>
      </c>
      <c r="AS15" s="155">
        <f t="shared" si="3"/>
        <v>0</v>
      </c>
    </row>
    <row r="16" spans="2:58" ht="13.5" thickBot="1">
      <c r="B16" s="177"/>
      <c r="C16" s="355" t="str">
        <f>IF(K8&lt;&gt;"",CONCATENATE(K8," +"),"E+")</f>
        <v>Mobile +</v>
      </c>
      <c r="D16" s="355" t="s">
        <v>0</v>
      </c>
      <c r="E16" s="355" t="str">
        <f>IF(K8&lt;&gt;"",CONCATENATE(K8," -"),"E-")</f>
        <v>Mobile -</v>
      </c>
      <c r="F16" s="355" t="s">
        <v>0</v>
      </c>
      <c r="G16" s="175"/>
      <c r="H16" s="355" t="str">
        <f>C16</f>
        <v>Mobile +</v>
      </c>
      <c r="I16" s="355" t="s">
        <v>0</v>
      </c>
      <c r="J16" s="355" t="str">
        <f>E16</f>
        <v>Mobile -</v>
      </c>
      <c r="K16" s="355" t="s">
        <v>0</v>
      </c>
      <c r="L16" s="175"/>
      <c r="M16" s="355" t="str">
        <f>H16</f>
        <v>Mobile +</v>
      </c>
      <c r="N16" s="355" t="s">
        <v>0</v>
      </c>
      <c r="O16" s="355" t="str">
        <f>J16</f>
        <v>Mobile -</v>
      </c>
      <c r="P16" s="355" t="s">
        <v>0</v>
      </c>
      <c r="R16" s="162"/>
      <c r="S16" s="178"/>
      <c r="T16" s="178"/>
      <c r="U16" s="143">
        <v>1.5379440149039703</v>
      </c>
      <c r="V16" s="143">
        <v>1.6990213288716818</v>
      </c>
      <c r="W16" s="143">
        <v>1.7365304253877465</v>
      </c>
      <c r="X16" s="143">
        <v>1.5203570399621169</v>
      </c>
      <c r="Y16" s="143">
        <v>0.97157093247207194</v>
      </c>
      <c r="Z16" s="143">
        <v>0.77229527532154574</v>
      </c>
      <c r="AA16" s="143">
        <v>0.91387072931980107</v>
      </c>
      <c r="AB16" s="143">
        <v>0.53262277669952984</v>
      </c>
      <c r="AK16" s="154">
        <f t="shared" si="4"/>
        <v>0.23999999999999996</v>
      </c>
      <c r="AL16" s="143">
        <v>0</v>
      </c>
      <c r="AM16" s="143">
        <v>0</v>
      </c>
      <c r="AN16" s="143">
        <v>0</v>
      </c>
      <c r="AO16" s="143">
        <v>0</v>
      </c>
      <c r="AP16" s="155">
        <f t="shared" si="0"/>
        <v>0</v>
      </c>
      <c r="AQ16" s="155">
        <f t="shared" si="1"/>
        <v>0</v>
      </c>
      <c r="AR16" s="155">
        <f t="shared" si="2"/>
        <v>0</v>
      </c>
      <c r="AS16" s="155">
        <f t="shared" si="3"/>
        <v>0</v>
      </c>
    </row>
    <row r="17" spans="2:45" ht="13.5">
      <c r="B17" s="338" t="str">
        <f>IF(K9&lt;&gt;"",CONCATENATE(K9," +"),"D+")</f>
        <v>Melanoma +</v>
      </c>
      <c r="C17" s="348">
        <v>139</v>
      </c>
      <c r="D17" s="179" t="s">
        <v>15</v>
      </c>
      <c r="E17" s="350">
        <v>114</v>
      </c>
      <c r="F17" s="179" t="s">
        <v>17</v>
      </c>
      <c r="H17" s="341">
        <f ca="1">M17-C17</f>
        <v>5.7765782255788736</v>
      </c>
      <c r="I17" s="180" t="s">
        <v>21</v>
      </c>
      <c r="J17" s="341">
        <f ca="1">O17-E17</f>
        <v>8.9586791738809239</v>
      </c>
      <c r="K17" s="180" t="s">
        <v>24</v>
      </c>
      <c r="L17" s="181"/>
      <c r="M17" s="341">
        <f ca="1">C17/AC3</f>
        <v>144.77657822557887</v>
      </c>
      <c r="N17" s="180" t="s">
        <v>27</v>
      </c>
      <c r="O17" s="341">
        <f ca="1">E17/AC5</f>
        <v>122.95867917388092</v>
      </c>
      <c r="P17" s="180" t="s">
        <v>30</v>
      </c>
      <c r="R17" s="182"/>
      <c r="S17" s="175"/>
      <c r="U17" s="143">
        <v>1.5100461724897414</v>
      </c>
      <c r="V17" s="143">
        <v>1.6623746380772306</v>
      </c>
      <c r="W17" s="143">
        <v>1.6925967511991591</v>
      </c>
      <c r="X17" s="143">
        <v>1.6367848828437801</v>
      </c>
      <c r="Y17" s="143">
        <v>0.98219883172821432</v>
      </c>
      <c r="Z17" s="143">
        <v>0.77872219616394023</v>
      </c>
      <c r="AA17" s="143">
        <v>0.93570902775070541</v>
      </c>
      <c r="AB17" s="143">
        <v>0.55592984354281294</v>
      </c>
      <c r="AK17" s="154">
        <f t="shared" si="4"/>
        <v>0.25999999999999995</v>
      </c>
      <c r="AL17" s="143">
        <v>0</v>
      </c>
      <c r="AM17" s="143">
        <v>0</v>
      </c>
      <c r="AN17" s="143">
        <v>0</v>
      </c>
      <c r="AO17" s="143">
        <v>0</v>
      </c>
      <c r="AP17" s="155">
        <f t="shared" si="0"/>
        <v>0</v>
      </c>
      <c r="AQ17" s="155">
        <f t="shared" si="1"/>
        <v>0</v>
      </c>
      <c r="AR17" s="155">
        <f t="shared" si="2"/>
        <v>0</v>
      </c>
      <c r="AS17" s="155">
        <f t="shared" si="3"/>
        <v>0</v>
      </c>
    </row>
    <row r="18" spans="2:45" ht="14" customHeight="1">
      <c r="B18" s="338"/>
      <c r="C18" s="349"/>
      <c r="D18" s="183"/>
      <c r="E18" s="349"/>
      <c r="F18" s="179"/>
      <c r="G18" s="181"/>
      <c r="H18" s="342"/>
      <c r="I18" s="180"/>
      <c r="J18" s="342"/>
      <c r="K18" s="180"/>
      <c r="L18" s="181"/>
      <c r="M18" s="342"/>
      <c r="N18" s="180"/>
      <c r="O18" s="342"/>
      <c r="P18" s="180"/>
      <c r="R18" s="175"/>
      <c r="U18" s="143">
        <v>1.616689808716427</v>
      </c>
      <c r="V18" s="143">
        <v>1.8117981103767724</v>
      </c>
      <c r="W18" s="143">
        <v>1.6130179743111601</v>
      </c>
      <c r="X18" s="143">
        <v>2.0998675342871294</v>
      </c>
      <c r="Y18" s="143">
        <v>0.95156406087462708</v>
      </c>
      <c r="Z18" s="143">
        <v>0.79920570264173096</v>
      </c>
      <c r="AA18" s="143">
        <v>0.90682738471011137</v>
      </c>
      <c r="AB18" s="143">
        <v>0.52367314173998747</v>
      </c>
      <c r="AK18" s="154">
        <f t="shared" si="4"/>
        <v>0.27999999999999997</v>
      </c>
      <c r="AL18" s="143">
        <v>0</v>
      </c>
      <c r="AM18" s="143">
        <v>0</v>
      </c>
      <c r="AN18" s="143">
        <v>0</v>
      </c>
      <c r="AO18" s="143">
        <v>0</v>
      </c>
      <c r="AP18" s="155">
        <f t="shared" si="0"/>
        <v>0</v>
      </c>
      <c r="AQ18" s="155">
        <f t="shared" si="1"/>
        <v>0</v>
      </c>
      <c r="AR18" s="155">
        <f t="shared" si="2"/>
        <v>0</v>
      </c>
      <c r="AS18" s="155">
        <f t="shared" si="3"/>
        <v>0</v>
      </c>
    </row>
    <row r="19" spans="2:45" ht="14.25" customHeight="1">
      <c r="B19" s="338" t="str">
        <f>IF(K9&lt;&gt;"",CONCATENATE(K9," -"),"D-")</f>
        <v>Melanoma -</v>
      </c>
      <c r="C19" s="344">
        <v>369</v>
      </c>
      <c r="D19" s="184" t="s">
        <v>16</v>
      </c>
      <c r="E19" s="344">
        <v>377</v>
      </c>
      <c r="F19" s="184" t="s">
        <v>18</v>
      </c>
      <c r="H19" s="346">
        <f ca="1">M19-C19</f>
        <v>92.108282238732556</v>
      </c>
      <c r="I19" s="185" t="s">
        <v>22</v>
      </c>
      <c r="J19" s="346">
        <f ca="1">O19-E19</f>
        <v>297.48925019119008</v>
      </c>
      <c r="K19" s="185" t="s">
        <v>25</v>
      </c>
      <c r="L19" s="181"/>
      <c r="M19" s="346">
        <f ca="1">C19/AC4</f>
        <v>461.10828223873256</v>
      </c>
      <c r="N19" s="185" t="s">
        <v>28</v>
      </c>
      <c r="O19" s="346">
        <f ca="1">E19/AC6</f>
        <v>674.48925019119008</v>
      </c>
      <c r="P19" s="185" t="s">
        <v>31</v>
      </c>
      <c r="S19" s="168"/>
      <c r="U19" s="143">
        <v>1.5001734916393255</v>
      </c>
      <c r="V19" s="143">
        <v>1.6605805250268819</v>
      </c>
      <c r="W19" s="143">
        <v>1.7673708054768158</v>
      </c>
      <c r="X19" s="143">
        <v>1.5449408251445205</v>
      </c>
      <c r="Y19" s="143">
        <v>0.95593820928935513</v>
      </c>
      <c r="Z19" s="143">
        <v>0.81384954050437952</v>
      </c>
      <c r="AA19" s="143">
        <v>0.88546839071237304</v>
      </c>
      <c r="AB19" s="143">
        <v>0.56552571411935448</v>
      </c>
      <c r="AK19" s="154">
        <f t="shared" si="4"/>
        <v>0.3</v>
      </c>
      <c r="AL19" s="143">
        <v>0</v>
      </c>
      <c r="AM19" s="143">
        <v>0</v>
      </c>
      <c r="AN19" s="143">
        <v>0</v>
      </c>
      <c r="AO19" s="143">
        <v>0</v>
      </c>
      <c r="AP19" s="155">
        <f t="shared" si="0"/>
        <v>0</v>
      </c>
      <c r="AQ19" s="155">
        <f t="shared" si="1"/>
        <v>0</v>
      </c>
      <c r="AR19" s="155">
        <f t="shared" si="2"/>
        <v>0</v>
      </c>
      <c r="AS19" s="155">
        <f t="shared" si="3"/>
        <v>0</v>
      </c>
    </row>
    <row r="20" spans="2:45" ht="12.75" customHeight="1" thickBot="1">
      <c r="B20" s="338"/>
      <c r="C20" s="345"/>
      <c r="D20" s="186"/>
      <c r="E20" s="345"/>
      <c r="F20" s="186"/>
      <c r="G20" s="181"/>
      <c r="H20" s="347"/>
      <c r="I20" s="187"/>
      <c r="J20" s="347"/>
      <c r="K20" s="187"/>
      <c r="L20" s="181"/>
      <c r="M20" s="347"/>
      <c r="N20" s="187"/>
      <c r="O20" s="347"/>
      <c r="P20" s="187"/>
      <c r="R20" s="167"/>
      <c r="S20" s="168"/>
      <c r="U20" s="143">
        <v>1.4253677060550414</v>
      </c>
      <c r="V20" s="143">
        <v>1.5570887186240858</v>
      </c>
      <c r="W20" s="143">
        <v>1.5653995062320534</v>
      </c>
      <c r="X20" s="143">
        <v>1.439311691599686</v>
      </c>
      <c r="Y20" s="143">
        <v>0.97149422768387106</v>
      </c>
      <c r="Z20" s="143">
        <v>0.79862396044337047</v>
      </c>
      <c r="AA20" s="143">
        <v>0.87596711018541895</v>
      </c>
      <c r="AB20" s="143">
        <v>0.57610479003745863</v>
      </c>
      <c r="AK20" s="154">
        <f t="shared" si="4"/>
        <v>0.32</v>
      </c>
      <c r="AL20" s="143">
        <v>0</v>
      </c>
      <c r="AM20" s="143">
        <v>0</v>
      </c>
      <c r="AN20" s="143">
        <v>0</v>
      </c>
      <c r="AO20" s="143">
        <v>0</v>
      </c>
      <c r="AP20" s="155">
        <f t="shared" si="0"/>
        <v>0</v>
      </c>
      <c r="AQ20" s="155">
        <f t="shared" si="1"/>
        <v>0</v>
      </c>
      <c r="AR20" s="155">
        <f t="shared" si="2"/>
        <v>0</v>
      </c>
      <c r="AS20" s="155">
        <f t="shared" si="3"/>
        <v>0</v>
      </c>
    </row>
    <row r="21" spans="2:45" ht="12.75" customHeight="1">
      <c r="B21" s="338" t="s">
        <v>1</v>
      </c>
      <c r="C21" s="339">
        <f>SUM(C17:C20)</f>
        <v>508</v>
      </c>
      <c r="D21" s="180" t="s">
        <v>20</v>
      </c>
      <c r="E21" s="339">
        <f>SUM(E17:E20)</f>
        <v>491</v>
      </c>
      <c r="F21" s="180" t="s">
        <v>19</v>
      </c>
      <c r="G21" s="181"/>
      <c r="H21" s="341">
        <f ca="1">M21-C21</f>
        <v>97.884860464311487</v>
      </c>
      <c r="I21" s="180" t="s">
        <v>23</v>
      </c>
      <c r="J21" s="341">
        <f ca="1">O21-E21</f>
        <v>306.44792936507099</v>
      </c>
      <c r="K21" s="180" t="s">
        <v>26</v>
      </c>
      <c r="L21" s="181"/>
      <c r="M21" s="341">
        <f ca="1">M17+M19</f>
        <v>605.88486046431149</v>
      </c>
      <c r="N21" s="180" t="s">
        <v>29</v>
      </c>
      <c r="O21" s="341">
        <f ca="1">O17+O19</f>
        <v>797.44792936507099</v>
      </c>
      <c r="P21" s="180" t="s">
        <v>32</v>
      </c>
      <c r="R21" s="167"/>
      <c r="S21" s="168"/>
      <c r="U21" s="143">
        <v>1.3799805798707705</v>
      </c>
      <c r="V21" s="143">
        <v>1.4952956159470474</v>
      </c>
      <c r="W21" s="143">
        <v>1.5100972652220901</v>
      </c>
      <c r="X21" s="143">
        <v>1.3220954903922004</v>
      </c>
      <c r="Y21" s="143">
        <v>0.9849758104078139</v>
      </c>
      <c r="Z21" s="143">
        <v>0.7935269279646554</v>
      </c>
      <c r="AA21" s="143">
        <v>0.85253921977898395</v>
      </c>
      <c r="AB21" s="143">
        <v>0.57220064640505353</v>
      </c>
      <c r="AK21" s="154">
        <f t="shared" si="4"/>
        <v>0.34</v>
      </c>
      <c r="AL21" s="143">
        <v>0</v>
      </c>
      <c r="AM21" s="143">
        <v>0</v>
      </c>
      <c r="AN21" s="143">
        <v>0</v>
      </c>
      <c r="AO21" s="143">
        <v>0</v>
      </c>
      <c r="AP21" s="155">
        <f t="shared" si="0"/>
        <v>0</v>
      </c>
      <c r="AQ21" s="155">
        <f t="shared" si="1"/>
        <v>0</v>
      </c>
      <c r="AR21" s="155">
        <f t="shared" si="2"/>
        <v>0</v>
      </c>
      <c r="AS21" s="155">
        <f t="shared" si="3"/>
        <v>0</v>
      </c>
    </row>
    <row r="22" spans="2:45" ht="13" customHeight="1">
      <c r="B22" s="338"/>
      <c r="C22" s="340"/>
      <c r="D22" s="188"/>
      <c r="E22" s="340"/>
      <c r="F22" s="188"/>
      <c r="G22" s="168"/>
      <c r="H22" s="342"/>
      <c r="I22" s="189"/>
      <c r="J22" s="342"/>
      <c r="K22" s="189"/>
      <c r="M22" s="342"/>
      <c r="N22" s="189"/>
      <c r="O22" s="342"/>
      <c r="P22" s="189"/>
      <c r="R22" s="167"/>
      <c r="S22" s="168"/>
      <c r="U22" s="143">
        <v>1.4794359968046427</v>
      </c>
      <c r="V22" s="143">
        <v>1.6224777766939613</v>
      </c>
      <c r="W22" s="143">
        <v>1.4694170340704384</v>
      </c>
      <c r="X22" s="143">
        <v>1.2921121994503471</v>
      </c>
      <c r="Y22" s="143">
        <v>0.97272040052311515</v>
      </c>
      <c r="Z22" s="143">
        <v>0.77042764355117122</v>
      </c>
      <c r="AA22" s="143">
        <v>0.90731504843257682</v>
      </c>
      <c r="AB22" s="143">
        <v>0.55175734473392002</v>
      </c>
      <c r="AK22" s="154">
        <f t="shared" si="4"/>
        <v>0.36000000000000004</v>
      </c>
      <c r="AL22" s="143">
        <v>0</v>
      </c>
      <c r="AM22" s="143">
        <v>0</v>
      </c>
      <c r="AN22" s="143">
        <v>0</v>
      </c>
      <c r="AO22" s="143">
        <v>0</v>
      </c>
      <c r="AP22" s="155">
        <f t="shared" si="0"/>
        <v>0</v>
      </c>
      <c r="AQ22" s="155">
        <f t="shared" si="1"/>
        <v>0</v>
      </c>
      <c r="AR22" s="155">
        <f t="shared" si="2"/>
        <v>0</v>
      </c>
      <c r="AS22" s="155">
        <f t="shared" si="3"/>
        <v>0</v>
      </c>
    </row>
    <row r="23" spans="2:45" ht="12.75" customHeight="1">
      <c r="H23" s="331">
        <f ca="1">H21+J21</f>
        <v>404.33278982938248</v>
      </c>
      <c r="I23" s="332"/>
      <c r="J23" s="332"/>
      <c r="K23" s="332"/>
      <c r="M23" s="367">
        <f ca="1">M21+O21</f>
        <v>1403.3327898293824</v>
      </c>
      <c r="N23" s="367"/>
      <c r="O23" s="367"/>
      <c r="P23" s="367"/>
      <c r="R23" s="167"/>
      <c r="S23" s="166"/>
      <c r="U23" s="143">
        <v>1.4698064180401209</v>
      </c>
      <c r="V23" s="143">
        <v>1.6203932015506861</v>
      </c>
      <c r="W23" s="143">
        <v>1.4353425969128648</v>
      </c>
      <c r="X23" s="143">
        <v>1.4871411161884744</v>
      </c>
      <c r="Y23" s="143">
        <v>0.9512236148047557</v>
      </c>
      <c r="Z23" s="143">
        <v>0.809397951522555</v>
      </c>
      <c r="AA23" s="143">
        <v>0.87147680526868143</v>
      </c>
      <c r="AB23" s="143">
        <v>0.57008528440968065</v>
      </c>
      <c r="AK23" s="154">
        <f t="shared" si="4"/>
        <v>0.38000000000000006</v>
      </c>
      <c r="AL23" s="143">
        <v>0</v>
      </c>
      <c r="AM23" s="143">
        <v>0</v>
      </c>
      <c r="AN23" s="143">
        <v>0</v>
      </c>
      <c r="AO23" s="143">
        <v>0</v>
      </c>
      <c r="AP23" s="155">
        <f t="shared" si="0"/>
        <v>0</v>
      </c>
      <c r="AQ23" s="155">
        <f t="shared" si="1"/>
        <v>0</v>
      </c>
      <c r="AR23" s="155">
        <f t="shared" si="2"/>
        <v>0</v>
      </c>
      <c r="AS23" s="155">
        <f t="shared" si="3"/>
        <v>0</v>
      </c>
    </row>
    <row r="24" spans="2:45" ht="15" customHeight="1">
      <c r="B24" s="334" t="str">
        <f>IF(I13&lt;&gt;"",IF(I14&lt;&gt;"",CONCATENATE("Crude and Adjusted Measures of ",I13,"-",I14," Relationship"),"Crude and Adjusted Measures"),"Crude and Adjusted Measures")</f>
        <v>Crude and Adjusted Measures</v>
      </c>
      <c r="C24" s="334"/>
      <c r="D24" s="334"/>
      <c r="E24" s="334"/>
      <c r="F24" s="334"/>
      <c r="G24" s="334"/>
      <c r="H24" s="334"/>
      <c r="I24" s="334"/>
      <c r="J24" s="334"/>
      <c r="K24" s="334"/>
      <c r="L24" s="334"/>
      <c r="M24" s="334"/>
      <c r="N24" s="334"/>
      <c r="O24" s="334"/>
      <c r="P24" s="334"/>
      <c r="Q24" s="334"/>
      <c r="R24" s="334"/>
      <c r="X24" s="143"/>
      <c r="Y24" s="143"/>
      <c r="Z24" s="143"/>
      <c r="AA24" s="143"/>
      <c r="AB24" s="143"/>
      <c r="AK24" s="154">
        <f t="shared" si="4"/>
        <v>0.40000000000000008</v>
      </c>
      <c r="AL24" s="143">
        <v>0</v>
      </c>
      <c r="AM24" s="143">
        <v>0</v>
      </c>
      <c r="AN24" s="143">
        <v>0</v>
      </c>
      <c r="AO24" s="143">
        <v>0</v>
      </c>
      <c r="AP24" s="155">
        <f t="shared" si="0"/>
        <v>0</v>
      </c>
      <c r="AQ24" s="155">
        <f t="shared" si="1"/>
        <v>0</v>
      </c>
      <c r="AR24" s="155">
        <f t="shared" si="2"/>
        <v>0</v>
      </c>
      <c r="AS24" s="155">
        <f t="shared" si="3"/>
        <v>0</v>
      </c>
    </row>
    <row r="25" spans="2:45" ht="12.75" customHeight="1">
      <c r="B25" s="159" t="s">
        <v>6</v>
      </c>
      <c r="C25" s="335" t="s">
        <v>4</v>
      </c>
      <c r="D25" s="335"/>
      <c r="E25" s="335"/>
      <c r="F25" s="335"/>
      <c r="G25" s="156"/>
      <c r="I25" s="335" t="s">
        <v>172</v>
      </c>
      <c r="J25" s="335"/>
      <c r="K25" s="335"/>
      <c r="L25" s="335"/>
      <c r="N25" s="161" t="s">
        <v>64</v>
      </c>
      <c r="O25" s="161"/>
      <c r="P25" s="161"/>
      <c r="Q25" s="161"/>
      <c r="R25" s="190"/>
      <c r="X25" s="143"/>
      <c r="Y25" s="143"/>
      <c r="Z25" s="143"/>
      <c r="AA25" s="143"/>
      <c r="AB25" s="143"/>
      <c r="AK25" s="154">
        <f t="shared" si="4"/>
        <v>0.4200000000000001</v>
      </c>
      <c r="AL25" s="143">
        <v>0</v>
      </c>
      <c r="AM25" s="143">
        <v>0</v>
      </c>
      <c r="AN25" s="143">
        <v>0</v>
      </c>
      <c r="AO25" s="143">
        <v>0</v>
      </c>
      <c r="AP25" s="155">
        <f t="shared" si="0"/>
        <v>0</v>
      </c>
      <c r="AQ25" s="155">
        <f t="shared" si="1"/>
        <v>0</v>
      </c>
      <c r="AR25" s="155">
        <f t="shared" si="2"/>
        <v>0</v>
      </c>
      <c r="AS25" s="155">
        <f t="shared" si="3"/>
        <v>0</v>
      </c>
    </row>
    <row r="26" spans="2:45" ht="12.75" customHeight="1">
      <c r="B26" s="160" t="str">
        <f>IF(I13&lt;&gt;"",IF(I14&lt;&gt;"",CONCATENATE("RR (",I13,"-",I14,")"),"RR (ED)"),"RR (ED)")</f>
        <v>RR (ED)</v>
      </c>
      <c r="C26" s="327" t="str">
        <f>CONCATENATE(ROUND((C17/C21)/(E17/E21),2)," (",ROUND(EXP(LN((C17/C21)/(E17/E21))-1.96*W5),2)," - ",ROUND(EXP(LN((C17/C21)/(E17/E21))+1.96*W5),2),")")</f>
        <v>1.18 (0.95 - 1.46)</v>
      </c>
      <c r="D26" s="327"/>
      <c r="E26" s="327"/>
      <c r="F26" s="327"/>
      <c r="G26" s="191"/>
      <c r="H26" s="160" t="str">
        <f>IF(I13&lt;&gt;"",IF(I14&lt;&gt;"",CONCATENATE("RR (",I13,"-",I14,")"),"RR (ED)"),"RR (ED)")</f>
        <v>RR (ED)</v>
      </c>
      <c r="J26" s="142">
        <f ca="1">(M17/M21)/(O17/O21)</f>
        <v>1.5497132726600966</v>
      </c>
      <c r="K26" s="168"/>
      <c r="L26" s="168" t="str">
        <f>IF(OR(I18="",I20="",K18="",K20="",N18="",N20="",P18="",P20=""),"",C18/((I22*K18/K22)+(N22*P18/P22)))</f>
        <v/>
      </c>
      <c r="N26" s="167" t="s">
        <v>146</v>
      </c>
      <c r="O26" s="192">
        <f ca="1">AC3</f>
        <v>0.96010005004691923</v>
      </c>
      <c r="Q26" s="167" t="s">
        <v>148</v>
      </c>
      <c r="R26" s="192">
        <f ca="1">AC5</f>
        <v>0.92714073350436621</v>
      </c>
      <c r="X26" s="143"/>
      <c r="Y26" s="143"/>
      <c r="Z26" s="143"/>
      <c r="AA26" s="143"/>
      <c r="AB26" s="143"/>
      <c r="AK26" s="154">
        <f t="shared" si="4"/>
        <v>0.44000000000000011</v>
      </c>
      <c r="AL26" s="143">
        <v>0</v>
      </c>
      <c r="AM26" s="143">
        <v>0</v>
      </c>
      <c r="AN26" s="143">
        <v>0</v>
      </c>
      <c r="AO26" s="143">
        <v>0</v>
      </c>
      <c r="AP26" s="155">
        <f t="shared" si="0"/>
        <v>0</v>
      </c>
      <c r="AQ26" s="155">
        <f t="shared" si="1"/>
        <v>0</v>
      </c>
      <c r="AR26" s="155">
        <f t="shared" si="2"/>
        <v>0</v>
      </c>
      <c r="AS26" s="155">
        <f t="shared" si="3"/>
        <v>0</v>
      </c>
    </row>
    <row r="27" spans="2:45" ht="12.75" customHeight="1">
      <c r="B27" s="160" t="str">
        <f>IF(I13&lt;&gt;"",IF(I14&lt;&gt;"",CONCATENATE("OR (",I13,"-",I14,")"),"OR (ED)"),"OR (ED)")</f>
        <v>OR (ED)</v>
      </c>
      <c r="C27" s="327" t="str">
        <f>CONCATENATE(ROUND((C17/C19)/(E17/E19),2)," (",ROUND(EXP(LN((C17/C19)/(E17/E19))-1.96*W5),2)," - ",ROUND(EXP(LN((C17/C19)/(E17/E19))+1.96*W5),2),")")</f>
        <v>1.25 (1.01 - 1.54)</v>
      </c>
      <c r="D27" s="327"/>
      <c r="E27" s="327"/>
      <c r="F27" s="327"/>
      <c r="G27" s="191"/>
      <c r="H27" s="160" t="str">
        <f>IF(I13&lt;&gt;"",IF(I14&lt;&gt;"",CONCATENATE("OR (",I13,"-",I14,")"),"OR (ED)"),"OR (ED)")</f>
        <v>OR (ED)</v>
      </c>
      <c r="J27" s="142">
        <f ca="1">(M17/M19)/(O17/O19)</f>
        <v>1.7223096229891701</v>
      </c>
      <c r="K27" s="168"/>
      <c r="L27" s="168" t="str">
        <f>IF(OR(I18="",I20="",K18="",K20="",N18="",N20="",P18="",P20=""),"",C18/((I20*K18/K20)+(N20*P18/P20)))</f>
        <v/>
      </c>
      <c r="N27" s="167" t="s">
        <v>147</v>
      </c>
      <c r="O27" s="192">
        <f ca="1">AC4</f>
        <v>0.80024587328699348</v>
      </c>
      <c r="Q27" s="167" t="s">
        <v>149</v>
      </c>
      <c r="R27" s="192">
        <f ca="1">AC6</f>
        <v>0.55894145072458301</v>
      </c>
      <c r="X27" s="143"/>
      <c r="Y27" s="143"/>
      <c r="Z27" s="143"/>
      <c r="AA27" s="143"/>
      <c r="AB27" s="143"/>
      <c r="AK27" s="154">
        <f t="shared" si="4"/>
        <v>0.46000000000000013</v>
      </c>
      <c r="AL27" s="143">
        <v>0</v>
      </c>
      <c r="AM27" s="143">
        <v>0</v>
      </c>
      <c r="AN27" s="143">
        <v>0</v>
      </c>
      <c r="AO27" s="143">
        <v>0</v>
      </c>
      <c r="AP27" s="155">
        <f t="shared" si="0"/>
        <v>0</v>
      </c>
      <c r="AQ27" s="155">
        <f t="shared" si="1"/>
        <v>0</v>
      </c>
      <c r="AR27" s="155">
        <f t="shared" si="2"/>
        <v>0</v>
      </c>
      <c r="AS27" s="155">
        <f t="shared" si="3"/>
        <v>0</v>
      </c>
    </row>
    <row r="28" spans="2:45" ht="13">
      <c r="B28" s="166"/>
      <c r="C28" s="166"/>
      <c r="D28" s="166"/>
      <c r="H28" s="166"/>
      <c r="I28" s="166"/>
      <c r="J28" s="166"/>
      <c r="N28" s="167" t="s">
        <v>153</v>
      </c>
      <c r="O28" s="207">
        <f ca="1">(O26*R27)/(O27*R26)</f>
        <v>0.72329207205113766</v>
      </c>
      <c r="S28" s="156"/>
      <c r="T28" s="156"/>
      <c r="X28" s="143"/>
      <c r="Y28" s="143"/>
      <c r="Z28" s="143"/>
      <c r="AA28" s="143"/>
      <c r="AB28" s="143"/>
      <c r="AK28" s="154">
        <f t="shared" si="4"/>
        <v>0.48000000000000015</v>
      </c>
      <c r="AL28" s="143">
        <v>0</v>
      </c>
      <c r="AM28" s="143">
        <v>0</v>
      </c>
      <c r="AN28" s="143">
        <v>0</v>
      </c>
      <c r="AO28" s="143">
        <v>0</v>
      </c>
      <c r="AP28" s="155">
        <f t="shared" si="0"/>
        <v>0</v>
      </c>
      <c r="AQ28" s="155">
        <f t="shared" si="1"/>
        <v>0</v>
      </c>
      <c r="AR28" s="155">
        <f t="shared" si="2"/>
        <v>0</v>
      </c>
      <c r="AS28" s="155">
        <f t="shared" si="3"/>
        <v>0</v>
      </c>
    </row>
    <row r="29" spans="2:45" ht="13">
      <c r="B29" s="328" t="str">
        <f>CONCATENATE(IF(I13&lt;&gt;"",IF(I14&lt;&gt;"",CONCATENATE(I13,"-",I14," Relationship "),"Results "),"Results "),IF(C14&lt;&gt;"",CONCATENATE("Adjusted for ",C14),"Adjusted for Unmeasured Confounder"))</f>
        <v>Results Adjusted for Unmeasured Confounder</v>
      </c>
      <c r="C29" s="328"/>
      <c r="D29" s="328"/>
      <c r="E29" s="328"/>
      <c r="F29" s="328"/>
      <c r="G29" s="328"/>
      <c r="H29" s="328"/>
      <c r="I29" s="328"/>
      <c r="J29" s="328"/>
      <c r="K29" s="328"/>
      <c r="L29" s="328"/>
      <c r="M29" s="328"/>
      <c r="N29" s="328"/>
      <c r="O29" s="328"/>
      <c r="P29" s="328"/>
      <c r="Q29" s="328"/>
      <c r="R29" s="193"/>
      <c r="S29" s="156"/>
      <c r="T29" s="156"/>
      <c r="X29" s="143"/>
      <c r="Y29" s="143"/>
      <c r="Z29" s="143"/>
      <c r="AA29" s="143"/>
      <c r="AB29" s="143"/>
      <c r="AK29" s="154">
        <f t="shared" si="4"/>
        <v>0.50000000000000011</v>
      </c>
      <c r="AL29" s="143">
        <v>0</v>
      </c>
      <c r="AM29" s="143">
        <v>0</v>
      </c>
      <c r="AN29" s="143">
        <v>0</v>
      </c>
      <c r="AO29" s="143">
        <v>0</v>
      </c>
      <c r="AP29" s="155">
        <f t="shared" si="0"/>
        <v>0</v>
      </c>
      <c r="AQ29" s="155">
        <f t="shared" si="1"/>
        <v>0</v>
      </c>
      <c r="AR29" s="155">
        <f t="shared" si="2"/>
        <v>0</v>
      </c>
      <c r="AS29" s="155">
        <f t="shared" si="3"/>
        <v>0</v>
      </c>
    </row>
    <row r="30" spans="2:45" ht="13">
      <c r="B30" s="194"/>
      <c r="C30" s="194"/>
      <c r="D30" s="194"/>
      <c r="E30" s="194"/>
      <c r="F30" s="195"/>
      <c r="G30" s="195"/>
      <c r="H30" s="195"/>
      <c r="I30" s="195"/>
      <c r="J30" s="194"/>
      <c r="K30" s="194"/>
      <c r="L30" s="195"/>
      <c r="M30" s="195"/>
      <c r="N30" s="195"/>
      <c r="O30" s="194"/>
      <c r="P30" s="194"/>
      <c r="Q30" s="194"/>
      <c r="S30" s="191"/>
      <c r="T30" s="191"/>
      <c r="X30" s="143"/>
      <c r="Y30" s="143"/>
      <c r="Z30" s="143"/>
      <c r="AA30" s="143"/>
      <c r="AB30" s="143"/>
      <c r="AK30" s="154">
        <f t="shared" si="4"/>
        <v>0.52000000000000013</v>
      </c>
      <c r="AL30" s="143">
        <v>0</v>
      </c>
      <c r="AM30" s="143">
        <v>0</v>
      </c>
      <c r="AN30" s="143">
        <v>0</v>
      </c>
      <c r="AO30" s="143">
        <v>0</v>
      </c>
      <c r="AP30" s="155">
        <f t="shared" si="0"/>
        <v>0</v>
      </c>
      <c r="AQ30" s="155">
        <f t="shared" si="1"/>
        <v>0</v>
      </c>
      <c r="AR30" s="155">
        <f t="shared" si="2"/>
        <v>0</v>
      </c>
      <c r="AS30" s="155">
        <f t="shared" si="3"/>
        <v>0</v>
      </c>
    </row>
    <row r="31" spans="2:45" ht="13" customHeight="1">
      <c r="B31" s="328" t="str">
        <f>CONCATENATE("RR Simulation Results (N=",COUNT(W14:W49998),")")</f>
        <v>RR Simulation Results (N=10)</v>
      </c>
      <c r="C31" s="328"/>
      <c r="D31" s="328"/>
      <c r="E31" s="328"/>
      <c r="F31" s="328"/>
      <c r="G31" s="328"/>
      <c r="I31" s="328" t="str">
        <f>CONCATENATE("OR Simulation Results (N=",COUNT(X14:X49998),")")</f>
        <v>OR Simulation Results (N=10)</v>
      </c>
      <c r="J31" s="328"/>
      <c r="K31" s="328"/>
      <c r="L31" s="328"/>
      <c r="M31" s="328"/>
      <c r="N31" s="328"/>
      <c r="O31" s="160"/>
      <c r="P31" s="329" t="s">
        <v>182</v>
      </c>
      <c r="Q31" s="329"/>
      <c r="S31" s="191"/>
      <c r="T31" s="191"/>
      <c r="X31" s="143"/>
      <c r="Y31" s="143"/>
      <c r="Z31" s="143"/>
      <c r="AA31" s="143"/>
      <c r="AB31" s="143"/>
      <c r="AK31" s="154">
        <f t="shared" si="4"/>
        <v>0.54000000000000015</v>
      </c>
      <c r="AL31" s="143">
        <v>0</v>
      </c>
      <c r="AM31" s="143">
        <v>0</v>
      </c>
      <c r="AN31" s="143">
        <v>0</v>
      </c>
      <c r="AO31" s="143">
        <v>0</v>
      </c>
      <c r="AP31" s="155">
        <f t="shared" si="0"/>
        <v>0</v>
      </c>
      <c r="AQ31" s="155">
        <f t="shared" si="1"/>
        <v>0</v>
      </c>
      <c r="AR31" s="155">
        <f t="shared" si="2"/>
        <v>0</v>
      </c>
      <c r="AS31" s="155">
        <f t="shared" si="3"/>
        <v>0</v>
      </c>
    </row>
    <row r="32" spans="2:45" ht="15">
      <c r="B32" s="193" t="s">
        <v>68</v>
      </c>
      <c r="C32" s="328" t="s">
        <v>69</v>
      </c>
      <c r="D32" s="328"/>
      <c r="E32" s="328"/>
      <c r="F32" s="328"/>
      <c r="G32" s="328"/>
      <c r="I32" s="193" t="s">
        <v>68</v>
      </c>
      <c r="J32" s="328" t="s">
        <v>69</v>
      </c>
      <c r="K32" s="328"/>
      <c r="L32" s="328"/>
      <c r="M32" s="328"/>
      <c r="N32" s="328"/>
      <c r="P32" s="330"/>
      <c r="Q32" s="330"/>
      <c r="X32" s="143"/>
      <c r="Y32" s="143"/>
      <c r="Z32" s="143"/>
      <c r="AA32" s="143"/>
      <c r="AB32" s="143"/>
      <c r="AK32" s="154">
        <f t="shared" si="4"/>
        <v>0.56000000000000016</v>
      </c>
      <c r="AL32" s="143">
        <v>0</v>
      </c>
      <c r="AM32" s="143">
        <v>0</v>
      </c>
      <c r="AN32" s="143">
        <v>0</v>
      </c>
      <c r="AO32" s="143">
        <v>1</v>
      </c>
      <c r="AP32" s="155">
        <f t="shared" si="0"/>
        <v>0</v>
      </c>
      <c r="AQ32" s="155">
        <f t="shared" si="1"/>
        <v>0</v>
      </c>
      <c r="AR32" s="155">
        <f t="shared" si="2"/>
        <v>0</v>
      </c>
      <c r="AS32" s="155">
        <f t="shared" si="3"/>
        <v>0.5</v>
      </c>
    </row>
    <row r="33" spans="2:45" ht="13.5" customHeight="1">
      <c r="B33" s="160" t="s">
        <v>65</v>
      </c>
      <c r="C33" s="318" t="str">
        <f>C26</f>
        <v>1.18 (0.95 - 1.46)</v>
      </c>
      <c r="D33" s="319"/>
      <c r="E33" s="319"/>
      <c r="F33" s="319"/>
      <c r="G33" s="319"/>
      <c r="I33" s="160" t="s">
        <v>65</v>
      </c>
      <c r="J33" s="191"/>
      <c r="K33" s="318" t="str">
        <f>C27</f>
        <v>1.25 (1.01 - 1.54)</v>
      </c>
      <c r="L33" s="319"/>
      <c r="M33" s="319"/>
      <c r="N33" s="319"/>
      <c r="P33" s="322">
        <f>IF(COUNTA(X14:X399991)&gt;0,K10-COUNTA(X14:X399991),"")</f>
        <v>0</v>
      </c>
      <c r="Q33" s="322"/>
      <c r="X33" s="143"/>
      <c r="Y33" s="143"/>
      <c r="Z33" s="143"/>
      <c r="AA33" s="143"/>
      <c r="AB33" s="143"/>
      <c r="AK33" s="154">
        <f t="shared" si="4"/>
        <v>0.58000000000000018</v>
      </c>
      <c r="AL33" s="143">
        <v>0</v>
      </c>
      <c r="AM33" s="143">
        <v>0</v>
      </c>
      <c r="AN33" s="143">
        <v>0</v>
      </c>
      <c r="AO33" s="143">
        <v>1</v>
      </c>
      <c r="AP33" s="155">
        <f t="shared" si="0"/>
        <v>0</v>
      </c>
      <c r="AQ33" s="155">
        <f t="shared" si="1"/>
        <v>0</v>
      </c>
      <c r="AR33" s="155">
        <f t="shared" si="2"/>
        <v>0</v>
      </c>
      <c r="AS33" s="155">
        <f t="shared" si="3"/>
        <v>0.5</v>
      </c>
    </row>
    <row r="34" spans="2:45" ht="13">
      <c r="B34" s="160" t="s">
        <v>66</v>
      </c>
      <c r="C34" s="320" t="str">
        <f>IF(COUNTA(U14:U399991)&gt;0,CONCATENATE(ROUND(PERCENTILE(U14:U50008,0.5),2)," (",ROUND(PERCENTILE(U14:U50008,0.025),2)," - ",ROUND(PERCENTILE(U14:U50008,0.975),2),")"),"")</f>
        <v>1.48 (1.38 - 1.6)</v>
      </c>
      <c r="D34" s="320"/>
      <c r="E34" s="320"/>
      <c r="F34" s="320"/>
      <c r="G34" s="320"/>
      <c r="I34" s="160" t="s">
        <v>66</v>
      </c>
      <c r="J34" s="191"/>
      <c r="K34" s="320" t="str">
        <f>IF(COUNTA(V14:V399991)&gt;0,CONCATENATE(ROUND(PERCENTILE(V14:V50008,0.5),2)," (",ROUND(PERCENTILE(V14:V50008,0.025),2)," - ",ROUND(PERCENTILE(V14:V50008,0.975),2),")"),"")</f>
        <v>1.63 (1.5 - 1.79)</v>
      </c>
      <c r="L34" s="320"/>
      <c r="M34" s="320"/>
      <c r="N34" s="320"/>
      <c r="P34" s="323"/>
      <c r="Q34" s="323"/>
      <c r="S34" s="156"/>
      <c r="T34" s="156"/>
      <c r="X34" s="143"/>
      <c r="Y34" s="143"/>
      <c r="Z34" s="143"/>
      <c r="AA34" s="143"/>
      <c r="AB34" s="143"/>
      <c r="AK34" s="154">
        <f t="shared" si="4"/>
        <v>0.6000000000000002</v>
      </c>
      <c r="AL34" s="143">
        <v>0</v>
      </c>
      <c r="AM34" s="143">
        <v>0</v>
      </c>
      <c r="AN34" s="143">
        <v>0</v>
      </c>
      <c r="AO34" s="143">
        <v>0</v>
      </c>
      <c r="AP34" s="155">
        <f t="shared" si="0"/>
        <v>0</v>
      </c>
      <c r="AQ34" s="155">
        <f t="shared" si="1"/>
        <v>0</v>
      </c>
      <c r="AR34" s="155">
        <f t="shared" si="2"/>
        <v>0</v>
      </c>
      <c r="AS34" s="155">
        <f t="shared" si="3"/>
        <v>0</v>
      </c>
    </row>
    <row r="35" spans="2:45" ht="12.75" customHeight="1">
      <c r="B35" s="159" t="s">
        <v>67</v>
      </c>
      <c r="C35" s="321" t="str">
        <f>IF(COUNTA(W14:W399991)&gt;0,CONCATENATE(ROUND(PERCENTILE(W14:W50009,0.5),2)," (",ROUND(PERCENTILE(W14:W50009,0.025),2)," - ",ROUND(PERCENTILE(W14:W50009,0.975),2),")"),"")</f>
        <v>1.54 (1.34 - 1.76)</v>
      </c>
      <c r="D35" s="321"/>
      <c r="E35" s="321"/>
      <c r="F35" s="321"/>
      <c r="G35" s="321"/>
      <c r="I35" s="159" t="s">
        <v>67</v>
      </c>
      <c r="J35" s="196"/>
      <c r="K35" s="321" t="str">
        <f>IF(COUNTA(X14:X399991)&gt;0,CONCATENATE(ROUND(PERCENTILE(X14:X50009,0.5),2)," (",ROUND(PERCENTILE(X14:X50009,0.025),2)," - ",ROUND(PERCENTILE(X14:X50009,0.975),2),")"),"")</f>
        <v>1.52 (1.3 - 2)</v>
      </c>
      <c r="L35" s="321"/>
      <c r="M35" s="321"/>
      <c r="N35" s="321"/>
      <c r="O35" s="144"/>
      <c r="P35" s="324"/>
      <c r="Q35" s="324"/>
      <c r="X35" s="143"/>
      <c r="Y35" s="143"/>
      <c r="Z35" s="143"/>
      <c r="AA35" s="143"/>
      <c r="AB35" s="143"/>
      <c r="AK35" s="154">
        <f t="shared" si="4"/>
        <v>0.62000000000000022</v>
      </c>
      <c r="AL35" s="143">
        <v>0</v>
      </c>
      <c r="AM35" s="143">
        <v>0</v>
      </c>
      <c r="AN35" s="143">
        <v>0</v>
      </c>
      <c r="AO35" s="143">
        <v>0</v>
      </c>
      <c r="AP35" s="155">
        <f t="shared" si="0"/>
        <v>0</v>
      </c>
      <c r="AQ35" s="155">
        <f t="shared" si="1"/>
        <v>0</v>
      </c>
      <c r="AR35" s="155">
        <f t="shared" si="2"/>
        <v>0</v>
      </c>
      <c r="AS35" s="155">
        <f t="shared" si="3"/>
        <v>0</v>
      </c>
    </row>
    <row r="36" spans="2:45" ht="13">
      <c r="B36" s="160"/>
      <c r="C36" s="160"/>
      <c r="D36" s="197"/>
      <c r="E36" s="197"/>
      <c r="F36" s="197"/>
      <c r="G36" s="197"/>
      <c r="H36" s="197"/>
      <c r="I36" s="197"/>
      <c r="X36" s="143"/>
      <c r="Y36" s="143"/>
      <c r="Z36" s="143"/>
      <c r="AA36" s="143"/>
      <c r="AB36" s="143"/>
      <c r="AK36" s="154">
        <f t="shared" si="4"/>
        <v>0.64000000000000024</v>
      </c>
      <c r="AL36" s="143">
        <v>0</v>
      </c>
      <c r="AM36" s="143">
        <v>0</v>
      </c>
      <c r="AN36" s="143">
        <v>0</v>
      </c>
      <c r="AO36" s="143">
        <v>0</v>
      </c>
      <c r="AP36" s="155">
        <f t="shared" ref="AP36:AP54" si="6">AL36/AL$55</f>
        <v>0</v>
      </c>
      <c r="AQ36" s="155">
        <f t="shared" ref="AQ36:AQ54" si="7">AM36/AM$55</f>
        <v>0</v>
      </c>
      <c r="AR36" s="155">
        <f t="shared" ref="AR36:AR54" si="8">AN36/AN$55</f>
        <v>0</v>
      </c>
      <c r="AS36" s="155">
        <f t="shared" ref="AS36:AS54" si="9">AO36/AO$55</f>
        <v>0</v>
      </c>
    </row>
    <row r="37" spans="2:45" ht="13">
      <c r="B37" s="160"/>
      <c r="C37" s="160"/>
      <c r="D37" s="197"/>
      <c r="E37" s="197"/>
      <c r="F37" s="197"/>
      <c r="G37" s="197"/>
      <c r="H37" s="197"/>
      <c r="I37" s="197"/>
      <c r="X37" s="143"/>
      <c r="Y37" s="143"/>
      <c r="Z37" s="143"/>
      <c r="AA37" s="143"/>
      <c r="AB37" s="143"/>
      <c r="AK37" s="154">
        <f t="shared" ref="AK37:AK53" si="10">AK36+0.02</f>
        <v>0.66000000000000025</v>
      </c>
      <c r="AL37" s="143">
        <v>0</v>
      </c>
      <c r="AM37" s="143">
        <v>0</v>
      </c>
      <c r="AN37" s="143">
        <v>0</v>
      </c>
      <c r="AO37" s="143">
        <v>0</v>
      </c>
      <c r="AP37" s="155">
        <f t="shared" si="6"/>
        <v>0</v>
      </c>
      <c r="AQ37" s="155">
        <f t="shared" si="7"/>
        <v>0</v>
      </c>
      <c r="AR37" s="155">
        <f t="shared" si="8"/>
        <v>0</v>
      </c>
      <c r="AS37" s="155">
        <f t="shared" si="9"/>
        <v>0</v>
      </c>
    </row>
    <row r="38" spans="2:45">
      <c r="G38" s="169"/>
      <c r="H38" s="166"/>
      <c r="X38" s="143"/>
      <c r="Y38" s="143"/>
      <c r="Z38" s="143"/>
      <c r="AA38" s="143"/>
      <c r="AB38" s="143"/>
      <c r="AK38" s="154">
        <f t="shared" si="10"/>
        <v>0.68000000000000027</v>
      </c>
      <c r="AL38" s="143">
        <v>0</v>
      </c>
      <c r="AM38" s="143">
        <v>0</v>
      </c>
      <c r="AN38" s="143">
        <v>0</v>
      </c>
      <c r="AO38" s="143">
        <v>0</v>
      </c>
      <c r="AP38" s="155">
        <f t="shared" si="6"/>
        <v>0</v>
      </c>
      <c r="AQ38" s="155">
        <f t="shared" si="7"/>
        <v>0</v>
      </c>
      <c r="AR38" s="155">
        <f t="shared" si="8"/>
        <v>0</v>
      </c>
      <c r="AS38" s="155">
        <f t="shared" si="9"/>
        <v>0</v>
      </c>
    </row>
    <row r="39" spans="2:45">
      <c r="X39" s="143"/>
      <c r="Y39" s="143"/>
      <c r="Z39" s="143"/>
      <c r="AA39" s="143"/>
      <c r="AB39" s="143"/>
      <c r="AK39" s="154">
        <f t="shared" si="10"/>
        <v>0.70000000000000029</v>
      </c>
      <c r="AL39" s="143">
        <v>0</v>
      </c>
      <c r="AM39" s="143">
        <v>0</v>
      </c>
      <c r="AN39" s="143">
        <v>0</v>
      </c>
      <c r="AO39" s="143">
        <v>0</v>
      </c>
      <c r="AP39" s="155">
        <f t="shared" si="6"/>
        <v>0</v>
      </c>
      <c r="AQ39" s="155">
        <f t="shared" si="7"/>
        <v>0</v>
      </c>
      <c r="AR39" s="155">
        <f t="shared" si="8"/>
        <v>0</v>
      </c>
      <c r="AS39" s="155">
        <f t="shared" si="9"/>
        <v>0</v>
      </c>
    </row>
    <row r="40" spans="2:45">
      <c r="X40" s="143"/>
      <c r="Y40" s="143"/>
      <c r="Z40" s="143"/>
      <c r="AA40" s="143"/>
      <c r="AB40" s="143"/>
      <c r="AK40" s="154">
        <f t="shared" si="10"/>
        <v>0.72000000000000031</v>
      </c>
      <c r="AL40" s="143">
        <v>0</v>
      </c>
      <c r="AM40" s="143">
        <v>0</v>
      </c>
      <c r="AN40" s="143">
        <v>0</v>
      </c>
      <c r="AO40" s="143">
        <v>0</v>
      </c>
      <c r="AP40" s="155">
        <f t="shared" si="6"/>
        <v>0</v>
      </c>
      <c r="AQ40" s="155">
        <f t="shared" si="7"/>
        <v>0</v>
      </c>
      <c r="AR40" s="155">
        <f t="shared" si="8"/>
        <v>0</v>
      </c>
      <c r="AS40" s="155">
        <f t="shared" si="9"/>
        <v>0</v>
      </c>
    </row>
    <row r="41" spans="2:45">
      <c r="X41" s="143"/>
      <c r="Y41" s="143"/>
      <c r="Z41" s="143"/>
      <c r="AA41" s="143"/>
      <c r="AB41" s="143"/>
      <c r="AK41" s="154">
        <f t="shared" si="10"/>
        <v>0.74000000000000032</v>
      </c>
      <c r="AL41" s="143">
        <v>0</v>
      </c>
      <c r="AM41" s="143">
        <v>0</v>
      </c>
      <c r="AN41" s="143">
        <v>0</v>
      </c>
      <c r="AO41" s="143">
        <v>0</v>
      </c>
      <c r="AP41" s="155">
        <f t="shared" si="6"/>
        <v>0</v>
      </c>
      <c r="AQ41" s="155">
        <f t="shared" si="7"/>
        <v>0</v>
      </c>
      <c r="AR41" s="155">
        <f t="shared" si="8"/>
        <v>0</v>
      </c>
      <c r="AS41" s="155">
        <f t="shared" si="9"/>
        <v>0</v>
      </c>
    </row>
    <row r="42" spans="2:45" ht="13">
      <c r="T42" s="160"/>
      <c r="X42" s="143"/>
      <c r="Y42" s="143"/>
      <c r="Z42" s="143"/>
      <c r="AA42" s="143"/>
      <c r="AB42" s="143"/>
      <c r="AK42" s="154">
        <f t="shared" si="10"/>
        <v>0.76000000000000034</v>
      </c>
      <c r="AL42" s="143">
        <v>0</v>
      </c>
      <c r="AM42" s="143">
        <v>0</v>
      </c>
      <c r="AN42" s="143">
        <v>0</v>
      </c>
      <c r="AO42" s="143">
        <v>0</v>
      </c>
      <c r="AP42" s="155">
        <f t="shared" si="6"/>
        <v>0</v>
      </c>
      <c r="AQ42" s="155">
        <f t="shared" si="7"/>
        <v>0</v>
      </c>
      <c r="AR42" s="155">
        <f t="shared" si="8"/>
        <v>0</v>
      </c>
      <c r="AS42" s="155">
        <f t="shared" si="9"/>
        <v>0</v>
      </c>
    </row>
    <row r="43" spans="2:45" ht="13">
      <c r="T43" s="198"/>
      <c r="X43" s="143"/>
      <c r="Y43" s="143"/>
      <c r="Z43" s="143"/>
      <c r="AA43" s="143"/>
      <c r="AB43" s="143"/>
      <c r="AK43" s="154">
        <f t="shared" si="10"/>
        <v>0.78000000000000036</v>
      </c>
      <c r="AL43" s="143">
        <v>0</v>
      </c>
      <c r="AM43" s="143">
        <v>1</v>
      </c>
      <c r="AN43" s="143">
        <v>0</v>
      </c>
      <c r="AO43" s="143">
        <v>0</v>
      </c>
      <c r="AP43" s="155">
        <f t="shared" si="6"/>
        <v>0</v>
      </c>
      <c r="AQ43" s="155">
        <f t="shared" si="7"/>
        <v>0.5</v>
      </c>
      <c r="AR43" s="155">
        <f t="shared" si="8"/>
        <v>0</v>
      </c>
      <c r="AS43" s="155">
        <f t="shared" si="9"/>
        <v>0</v>
      </c>
    </row>
    <row r="44" spans="2:45" ht="13">
      <c r="T44" s="198"/>
      <c r="X44" s="143"/>
      <c r="Y44" s="143"/>
      <c r="Z44" s="143"/>
      <c r="AA44" s="143"/>
      <c r="AB44" s="143"/>
      <c r="AK44" s="154">
        <f t="shared" si="10"/>
        <v>0.80000000000000038</v>
      </c>
      <c r="AL44" s="143">
        <v>0</v>
      </c>
      <c r="AM44" s="143">
        <v>0</v>
      </c>
      <c r="AN44" s="143">
        <v>0</v>
      </c>
      <c r="AO44" s="143">
        <v>0</v>
      </c>
      <c r="AP44" s="155">
        <f t="shared" si="6"/>
        <v>0</v>
      </c>
      <c r="AQ44" s="155">
        <f t="shared" si="7"/>
        <v>0</v>
      </c>
      <c r="AR44" s="155">
        <f t="shared" si="8"/>
        <v>0</v>
      </c>
      <c r="AS44" s="155">
        <f t="shared" si="9"/>
        <v>0</v>
      </c>
    </row>
    <row r="45" spans="2:45">
      <c r="T45" s="199"/>
      <c r="X45" s="143"/>
      <c r="Y45" s="143"/>
      <c r="Z45" s="143"/>
      <c r="AA45" s="143"/>
      <c r="AB45" s="143"/>
      <c r="AK45" s="154">
        <f t="shared" si="10"/>
        <v>0.8200000000000004</v>
      </c>
      <c r="AL45" s="143">
        <v>0</v>
      </c>
      <c r="AM45" s="143">
        <v>1</v>
      </c>
      <c r="AN45" s="143">
        <v>0</v>
      </c>
      <c r="AO45" s="143">
        <v>0</v>
      </c>
      <c r="AP45" s="155">
        <f t="shared" si="6"/>
        <v>0</v>
      </c>
      <c r="AQ45" s="155">
        <f t="shared" si="7"/>
        <v>0.5</v>
      </c>
      <c r="AR45" s="155">
        <f t="shared" si="8"/>
        <v>0</v>
      </c>
      <c r="AS45" s="155">
        <f t="shared" si="9"/>
        <v>0</v>
      </c>
    </row>
    <row r="46" spans="2:45">
      <c r="T46" s="199"/>
      <c r="X46" s="143"/>
      <c r="Y46" s="143"/>
      <c r="Z46" s="143"/>
      <c r="AA46" s="143"/>
      <c r="AB46" s="143"/>
      <c r="AK46" s="154">
        <f t="shared" si="10"/>
        <v>0.84000000000000041</v>
      </c>
      <c r="AL46" s="143">
        <v>0</v>
      </c>
      <c r="AM46" s="143">
        <v>0</v>
      </c>
      <c r="AN46" s="143">
        <v>0</v>
      </c>
      <c r="AO46" s="143">
        <v>0</v>
      </c>
      <c r="AP46" s="155">
        <f t="shared" si="6"/>
        <v>0</v>
      </c>
      <c r="AQ46" s="155">
        <f t="shared" si="7"/>
        <v>0</v>
      </c>
      <c r="AR46" s="155">
        <f t="shared" si="8"/>
        <v>0</v>
      </c>
      <c r="AS46" s="155">
        <f t="shared" si="9"/>
        <v>0</v>
      </c>
    </row>
    <row r="47" spans="2:45">
      <c r="T47" s="199"/>
      <c r="X47" s="143"/>
      <c r="Y47" s="143"/>
      <c r="Z47" s="143"/>
      <c r="AA47" s="143"/>
      <c r="AB47" s="143"/>
      <c r="AK47" s="154">
        <f t="shared" si="10"/>
        <v>0.86000000000000043</v>
      </c>
      <c r="AL47" s="143">
        <v>0</v>
      </c>
      <c r="AM47" s="143">
        <v>0</v>
      </c>
      <c r="AN47" s="143">
        <v>0</v>
      </c>
      <c r="AO47" s="143">
        <v>0</v>
      </c>
      <c r="AP47" s="155">
        <f t="shared" si="6"/>
        <v>0</v>
      </c>
      <c r="AQ47" s="155">
        <f t="shared" si="7"/>
        <v>0</v>
      </c>
      <c r="AR47" s="155">
        <f t="shared" si="8"/>
        <v>0</v>
      </c>
      <c r="AS47" s="155">
        <f t="shared" si="9"/>
        <v>0</v>
      </c>
    </row>
    <row r="48" spans="2:45">
      <c r="X48" s="143"/>
      <c r="Y48" s="143"/>
      <c r="Z48" s="143"/>
      <c r="AA48" s="143"/>
      <c r="AB48" s="143"/>
      <c r="AK48" s="154">
        <f t="shared" si="10"/>
        <v>0.88000000000000045</v>
      </c>
      <c r="AL48" s="143">
        <v>0</v>
      </c>
      <c r="AM48" s="143">
        <v>0</v>
      </c>
      <c r="AN48" s="143">
        <v>1</v>
      </c>
      <c r="AO48" s="143">
        <v>0</v>
      </c>
      <c r="AP48" s="155">
        <f t="shared" si="6"/>
        <v>0</v>
      </c>
      <c r="AQ48" s="155">
        <f t="shared" si="7"/>
        <v>0</v>
      </c>
      <c r="AR48" s="155">
        <f t="shared" si="8"/>
        <v>0.5</v>
      </c>
      <c r="AS48" s="155">
        <f t="shared" si="9"/>
        <v>0</v>
      </c>
    </row>
    <row r="49" spans="2:45" ht="13">
      <c r="S49" s="200"/>
      <c r="T49" s="200"/>
      <c r="X49" s="143"/>
      <c r="Y49" s="143"/>
      <c r="Z49" s="143"/>
      <c r="AA49" s="143"/>
      <c r="AB49" s="143"/>
      <c r="AK49" s="154">
        <f t="shared" si="10"/>
        <v>0.90000000000000047</v>
      </c>
      <c r="AL49" s="143">
        <v>0</v>
      </c>
      <c r="AM49" s="143">
        <v>0</v>
      </c>
      <c r="AN49" s="143">
        <v>0</v>
      </c>
      <c r="AO49" s="143">
        <v>0</v>
      </c>
      <c r="AP49" s="155">
        <f t="shared" si="6"/>
        <v>0</v>
      </c>
      <c r="AQ49" s="155">
        <f t="shared" si="7"/>
        <v>0</v>
      </c>
      <c r="AR49" s="155">
        <f t="shared" si="8"/>
        <v>0</v>
      </c>
      <c r="AS49" s="155">
        <f t="shared" si="9"/>
        <v>0</v>
      </c>
    </row>
    <row r="50" spans="2:45">
      <c r="X50" s="143"/>
      <c r="Y50" s="143"/>
      <c r="Z50" s="143"/>
      <c r="AA50" s="143"/>
      <c r="AB50" s="143"/>
      <c r="AK50" s="154">
        <f t="shared" si="10"/>
        <v>0.92000000000000048</v>
      </c>
      <c r="AL50" s="143">
        <v>0</v>
      </c>
      <c r="AM50" s="143">
        <v>0</v>
      </c>
      <c r="AN50" s="143">
        <v>1</v>
      </c>
      <c r="AO50" s="143">
        <v>0</v>
      </c>
      <c r="AP50" s="155">
        <f t="shared" si="6"/>
        <v>0</v>
      </c>
      <c r="AQ50" s="155">
        <f t="shared" si="7"/>
        <v>0</v>
      </c>
      <c r="AR50" s="155">
        <f t="shared" si="8"/>
        <v>0.5</v>
      </c>
      <c r="AS50" s="155">
        <f t="shared" si="9"/>
        <v>0</v>
      </c>
    </row>
    <row r="51" spans="2:45">
      <c r="X51" s="143"/>
      <c r="Y51" s="143"/>
      <c r="Z51" s="143"/>
      <c r="AA51" s="143"/>
      <c r="AB51" s="143"/>
      <c r="AK51" s="154">
        <f t="shared" si="10"/>
        <v>0.9400000000000005</v>
      </c>
      <c r="AL51" s="143">
        <v>0</v>
      </c>
      <c r="AM51" s="143">
        <v>0</v>
      </c>
      <c r="AN51" s="143">
        <v>0</v>
      </c>
      <c r="AO51" s="143">
        <v>0</v>
      </c>
      <c r="AP51" s="155">
        <f t="shared" si="6"/>
        <v>0</v>
      </c>
      <c r="AQ51" s="155">
        <f t="shared" si="7"/>
        <v>0</v>
      </c>
      <c r="AR51" s="155">
        <f t="shared" si="8"/>
        <v>0</v>
      </c>
      <c r="AS51" s="155">
        <f t="shared" si="9"/>
        <v>0</v>
      </c>
    </row>
    <row r="52" spans="2:45">
      <c r="X52" s="143"/>
      <c r="Y52" s="143"/>
      <c r="Z52" s="143"/>
      <c r="AA52" s="143"/>
      <c r="AB52" s="143"/>
      <c r="AK52" s="154">
        <f t="shared" si="10"/>
        <v>0.96000000000000052</v>
      </c>
      <c r="AL52" s="143">
        <v>1</v>
      </c>
      <c r="AM52" s="143">
        <v>0</v>
      </c>
      <c r="AN52" s="143">
        <v>0</v>
      </c>
      <c r="AO52" s="143">
        <v>0</v>
      </c>
      <c r="AP52" s="155">
        <f t="shared" si="6"/>
        <v>0.5</v>
      </c>
      <c r="AQ52" s="155">
        <f t="shared" si="7"/>
        <v>0</v>
      </c>
      <c r="AR52" s="155">
        <f t="shared" si="8"/>
        <v>0</v>
      </c>
      <c r="AS52" s="155">
        <f t="shared" si="9"/>
        <v>0</v>
      </c>
    </row>
    <row r="53" spans="2:45">
      <c r="X53" s="143"/>
      <c r="Y53" s="143"/>
      <c r="Z53" s="143"/>
      <c r="AA53" s="143"/>
      <c r="AB53" s="143"/>
      <c r="AK53" s="154">
        <f t="shared" si="10"/>
        <v>0.98000000000000054</v>
      </c>
      <c r="AL53" s="143">
        <v>1</v>
      </c>
      <c r="AM53" s="143">
        <v>0</v>
      </c>
      <c r="AN53" s="143">
        <v>0</v>
      </c>
      <c r="AO53" s="143">
        <v>0</v>
      </c>
      <c r="AP53" s="155">
        <f t="shared" si="6"/>
        <v>0.5</v>
      </c>
      <c r="AQ53" s="155">
        <f t="shared" si="7"/>
        <v>0</v>
      </c>
      <c r="AR53" s="155">
        <f t="shared" si="8"/>
        <v>0</v>
      </c>
      <c r="AS53" s="155">
        <f t="shared" si="9"/>
        <v>0</v>
      </c>
    </row>
    <row r="54" spans="2:45">
      <c r="X54" s="143"/>
      <c r="Y54" s="143"/>
      <c r="Z54" s="143"/>
      <c r="AA54" s="143"/>
      <c r="AB54" s="143"/>
      <c r="AK54" s="154">
        <v>1</v>
      </c>
      <c r="AL54" s="143">
        <v>0</v>
      </c>
      <c r="AM54" s="143">
        <v>0</v>
      </c>
      <c r="AN54" s="143">
        <v>0</v>
      </c>
      <c r="AO54" s="143">
        <v>0</v>
      </c>
      <c r="AP54" s="155">
        <f t="shared" si="6"/>
        <v>0</v>
      </c>
      <c r="AQ54" s="155">
        <f t="shared" si="7"/>
        <v>0</v>
      </c>
      <c r="AR54" s="155">
        <f t="shared" si="8"/>
        <v>0</v>
      </c>
      <c r="AS54" s="155">
        <f t="shared" si="9"/>
        <v>0</v>
      </c>
    </row>
    <row r="55" spans="2:45">
      <c r="X55" s="143"/>
      <c r="Y55" s="143"/>
      <c r="Z55" s="143"/>
      <c r="AA55" s="143"/>
      <c r="AB55" s="143"/>
      <c r="AK55" s="154"/>
      <c r="AL55" s="143">
        <f>SUM(AL4:AL54)</f>
        <v>2</v>
      </c>
      <c r="AM55" s="143">
        <f>SUM(AM4:AM54)</f>
        <v>2</v>
      </c>
      <c r="AN55" s="143">
        <f>SUM(AN4:AN54)</f>
        <v>2</v>
      </c>
      <c r="AO55" s="143">
        <f>SUM(AO4:AO54)</f>
        <v>2</v>
      </c>
      <c r="AP55" s="143"/>
      <c r="AQ55" s="143"/>
      <c r="AR55" s="143"/>
      <c r="AS55" s="143"/>
    </row>
    <row r="56" spans="2:45">
      <c r="X56" s="143"/>
      <c r="Y56" s="143"/>
      <c r="Z56" s="143"/>
      <c r="AA56" s="143"/>
      <c r="AB56" s="143"/>
    </row>
    <row r="57" spans="2:45">
      <c r="X57" s="143"/>
      <c r="Y57" s="143"/>
      <c r="Z57" s="143"/>
      <c r="AA57" s="143"/>
      <c r="AB57" s="143"/>
    </row>
    <row r="58" spans="2:45">
      <c r="X58" s="143"/>
      <c r="Y58" s="143"/>
      <c r="Z58" s="143"/>
      <c r="AA58" s="143"/>
      <c r="AB58" s="143"/>
    </row>
    <row r="59" spans="2:45">
      <c r="X59" s="143"/>
      <c r="Y59" s="143"/>
      <c r="Z59" s="143"/>
      <c r="AA59" s="143"/>
      <c r="AB59" s="143"/>
    </row>
    <row r="60" spans="2:45">
      <c r="J60" s="168"/>
      <c r="X60" s="143"/>
      <c r="Y60" s="143"/>
      <c r="Z60" s="143"/>
      <c r="AA60" s="143"/>
      <c r="AB60" s="143"/>
    </row>
    <row r="61" spans="2:45">
      <c r="J61" s="168"/>
      <c r="X61" s="143"/>
      <c r="Y61" s="143"/>
      <c r="Z61" s="143"/>
      <c r="AA61" s="143"/>
      <c r="AB61" s="143"/>
    </row>
    <row r="62" spans="2:45" ht="13">
      <c r="B62" s="201" t="s">
        <v>9</v>
      </c>
      <c r="C62" s="201"/>
      <c r="D62" s="201"/>
      <c r="E62" s="201"/>
      <c r="F62" s="201"/>
      <c r="G62" s="201"/>
      <c r="H62" s="202"/>
      <c r="I62" s="201"/>
      <c r="J62" s="201"/>
      <c r="K62" s="201"/>
      <c r="L62" s="201"/>
      <c r="M62" s="201"/>
      <c r="N62" s="201"/>
      <c r="O62" s="201"/>
      <c r="P62" s="201"/>
      <c r="Q62" s="201"/>
      <c r="R62" s="201"/>
      <c r="X62" s="143"/>
      <c r="Y62" s="143"/>
      <c r="Z62" s="143"/>
      <c r="AA62" s="143"/>
      <c r="AB62" s="143"/>
    </row>
    <row r="69" spans="2:14">
      <c r="B69" s="127" t="s">
        <v>201</v>
      </c>
      <c r="C69" s="174"/>
      <c r="D69" s="174"/>
      <c r="E69" s="174"/>
      <c r="F69" s="174"/>
      <c r="G69" s="174"/>
      <c r="H69" s="174"/>
      <c r="I69" s="369"/>
      <c r="J69" s="369"/>
      <c r="K69" s="369"/>
      <c r="L69" s="369"/>
      <c r="M69" s="369"/>
      <c r="N69" s="369"/>
    </row>
    <row r="70" spans="2:14">
      <c r="I70" s="369"/>
      <c r="J70" s="369"/>
      <c r="K70" s="369"/>
      <c r="L70" s="369"/>
      <c r="M70" s="369"/>
      <c r="N70" s="369"/>
    </row>
  </sheetData>
  <mergeCells count="61">
    <mergeCell ref="I69:N69"/>
    <mergeCell ref="I70:N70"/>
    <mergeCell ref="C33:G33"/>
    <mergeCell ref="K33:N33"/>
    <mergeCell ref="C34:G34"/>
    <mergeCell ref="K34:N34"/>
    <mergeCell ref="C35:G35"/>
    <mergeCell ref="K35:N35"/>
    <mergeCell ref="C26:F26"/>
    <mergeCell ref="C27:F27"/>
    <mergeCell ref="B29:Q29"/>
    <mergeCell ref="B31:G31"/>
    <mergeCell ref="I31:N31"/>
    <mergeCell ref="P31:Q32"/>
    <mergeCell ref="C32:G32"/>
    <mergeCell ref="J32:N32"/>
    <mergeCell ref="C21:C22"/>
    <mergeCell ref="E21:E22"/>
    <mergeCell ref="H21:H22"/>
    <mergeCell ref="J21:J22"/>
    <mergeCell ref="M21:M22"/>
    <mergeCell ref="B17:B18"/>
    <mergeCell ref="C17:C18"/>
    <mergeCell ref="E17:E18"/>
    <mergeCell ref="H17:H18"/>
    <mergeCell ref="J17:J18"/>
    <mergeCell ref="B19:B20"/>
    <mergeCell ref="C19:C20"/>
    <mergeCell ref="E19:E20"/>
    <mergeCell ref="H19:H20"/>
    <mergeCell ref="J19:J20"/>
    <mergeCell ref="B6:I6"/>
    <mergeCell ref="K6:R6"/>
    <mergeCell ref="O16:P16"/>
    <mergeCell ref="K9:M9"/>
    <mergeCell ref="K10:M10"/>
    <mergeCell ref="B14:R14"/>
    <mergeCell ref="C15:F15"/>
    <mergeCell ref="H15:K15"/>
    <mergeCell ref="M15:P15"/>
    <mergeCell ref="C16:D16"/>
    <mergeCell ref="E16:F16"/>
    <mergeCell ref="H16:I16"/>
    <mergeCell ref="J16:K16"/>
    <mergeCell ref="M16:N16"/>
    <mergeCell ref="P33:Q35"/>
    <mergeCell ref="K8:M8"/>
    <mergeCell ref="Z1:AB1"/>
    <mergeCell ref="P2:R2"/>
    <mergeCell ref="AK2:AO2"/>
    <mergeCell ref="O17:O18"/>
    <mergeCell ref="M19:M20"/>
    <mergeCell ref="O19:O20"/>
    <mergeCell ref="M17:M18"/>
    <mergeCell ref="O21:O22"/>
    <mergeCell ref="H23:K23"/>
    <mergeCell ref="M23:P23"/>
    <mergeCell ref="B24:R24"/>
    <mergeCell ref="C25:F25"/>
    <mergeCell ref="I25:L25"/>
    <mergeCell ref="B21:B22"/>
  </mergeCells>
  <pageMargins left="0.75" right="0.75" top="1" bottom="1" header="0.5" footer="0.5"/>
  <pageSetup orientation="portrait" verticalDpi="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7089" r:id="rId3" name="Button 1">
              <controlPr defaultSize="0" print="0" autoFill="0" autoPict="0" macro="[0]!ThisWorkbook.sel_bias">
                <anchor moveWithCells="1" sizeWithCells="1">
                  <from>
                    <xdr:col>9</xdr:col>
                    <xdr:colOff>139700</xdr:colOff>
                    <xdr:row>10</xdr:row>
                    <xdr:rowOff>101600</xdr:rowOff>
                  </from>
                  <to>
                    <xdr:col>12</xdr:col>
                    <xdr:colOff>317500</xdr:colOff>
                    <xdr:row>12</xdr:row>
                    <xdr:rowOff>25400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Cover</vt:lpstr>
      <vt:lpstr>Exp Misc</vt:lpstr>
      <vt:lpstr>Dis Misc</vt:lpstr>
      <vt:lpstr>Unmeas Conf</vt:lpstr>
      <vt:lpstr>Sel Bias</vt:lpstr>
    </vt:vector>
  </TitlesOfParts>
  <Company>Office of Information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Work</dc:creator>
  <cp:lastModifiedBy>Fox, Matthew</cp:lastModifiedBy>
  <dcterms:created xsi:type="dcterms:W3CDTF">2006-04-24T18:31:19Z</dcterms:created>
  <dcterms:modified xsi:type="dcterms:W3CDTF">2026-09-09T20:41:12Z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3" name="_NewReviewCycle">
    <vt:lpwstr/>
  </property>
</Properties>
</file>
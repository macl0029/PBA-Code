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style3.xml" ContentType="application/vnd.ms-office.chartstyle+xml"/>
  <Override PartName="/xl/charts/colors3.xml" ContentType="application/vnd.ms-office.chartcolorstyle+xml"/>
  <Override PartName="/xl/charts/chart1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style5.xml" ContentType="application/vnd.ms-office.chartstyle+xml"/>
  <Override PartName="/xl/charts/colors5.xml" ContentType="application/vnd.ms-office.chartcolorstyle+xml"/>
  <Override PartName="/xl/charts/chart1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trlProps/ctrlProp6.xml" ContentType="application/vnd.ms-excel.controlproperties+xml"/>
  <Override PartName="/xl/comments4.xml" ContentType="application/vnd.openxmlformats-officedocument.spreadsheetml.comments+xml"/>
  <Override PartName="/xl/charts/chart18.xml" ContentType="application/vnd.openxmlformats-officedocument.drawingml.chart+xml"/>
  <Override PartName="/xl/charts/style7.xml" ContentType="application/vnd.ms-office.chartstyle+xml"/>
  <Override PartName="/xl/charts/colors7.xml" ContentType="application/vnd.ms-office.chartcolorstyle+xml"/>
  <Override PartName="/xl/charts/chart19.xml" ContentType="application/vnd.openxmlformats-officedocument.drawingml.chart+xml"/>
  <Override PartName="/xl/charts/style8.xml" ContentType="application/vnd.ms-office.chartstyle+xml"/>
  <Override PartName="/xl/charts/colors8.xml" ContentType="application/vnd.ms-office.chartcolorstyle+xml"/>
  <Override PartName="/xl/charts/chart20.xml" ContentType="application/vnd.openxmlformats-officedocument.drawingml.chart+xml"/>
  <Override PartName="/xl/charts/style9.xml" ContentType="application/vnd.ms-office.chartstyle+xml"/>
  <Override PartName="/xl/charts/colors9.xml" ContentType="application/vnd.ms-office.chartcolorstyle+xml"/>
  <Override PartName="/xl/charts/chart21.xml" ContentType="application/vnd.openxmlformats-officedocument.drawingml.chart+xml"/>
  <Override PartName="/xl/charts/style10.xml" ContentType="application/vnd.ms-office.chartstyle+xml"/>
  <Override PartName="/xl/charts/colors10.xml" ContentType="application/vnd.ms-office.chartcolorstyle+xml"/>
  <Override PartName="/xl/charts/chart22.xml" ContentType="application/vnd.openxmlformats-officedocument.drawingml.chart+xml"/>
  <Override PartName="/xl/charts/style11.xml" ContentType="application/vnd.ms-office.chartstyle+xml"/>
  <Override PartName="/xl/charts/colors11.xml" ContentType="application/vnd.ms-office.chartcolorstyle+xml"/>
  <Override PartName="/xl/charts/chart23.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bushare-my.sharepoint.com/personal/mfox_bu_edu/Documents/Desktop/"/>
    </mc:Choice>
  </mc:AlternateContent>
  <xr:revisionPtr revIDLastSave="4" documentId="8_{BF387376-DC2F-49A5-969F-21F1285C7983}" xr6:coauthVersionLast="47" xr6:coauthVersionMax="47" xr10:uidLastSave="{071EE93F-B0B1-4FD4-B2FE-DBBE3E2FC0EB}"/>
  <bookViews>
    <workbookView xWindow="-110" yWindow="-110" windowWidth="19420" windowHeight="11500" tabRatio="601" activeTab="3" xr2:uid="{00000000-000D-0000-FFFF-FFFF00000000}"/>
  </bookViews>
  <sheets>
    <sheet name="Cover" sheetId="10" r:id="rId1"/>
    <sheet name="Exp Misc" sheetId="2" r:id="rId2"/>
    <sheet name="Dis Misc" sheetId="6" r:id="rId3"/>
    <sheet name="Unmeas Conf" sheetId="12" r:id="rId4"/>
    <sheet name="Sel Bias" sheetId="11"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8" i="12" l="1"/>
  <c r="V6" i="12"/>
  <c r="AV3" i="12"/>
  <c r="AU3" i="12"/>
  <c r="AW8" i="12"/>
  <c r="AV8" i="12"/>
  <c r="AU4" i="12"/>
  <c r="AV4" i="12" s="1"/>
  <c r="AW3" i="12"/>
  <c r="AV10" i="12"/>
  <c r="AU10" i="12"/>
  <c r="AW4" i="2"/>
  <c r="AV8" i="2"/>
  <c r="AX10" i="11"/>
  <c r="AY10" i="11" s="1"/>
  <c r="AX9" i="11"/>
  <c r="AZ9" i="11" s="1"/>
  <c r="AX8" i="11"/>
  <c r="AX5" i="11"/>
  <c r="AZ5" i="11" s="1"/>
  <c r="AX4" i="11"/>
  <c r="AZ4" i="11" s="1"/>
  <c r="AU9" i="12"/>
  <c r="AW9" i="12" s="1"/>
  <c r="AU8" i="12"/>
  <c r="AW5" i="12"/>
  <c r="AU5" i="12"/>
  <c r="AV5" i="12" s="1"/>
  <c r="AU11" i="6"/>
  <c r="AW11" i="6" s="1"/>
  <c r="AU10" i="6"/>
  <c r="AW10" i="6" s="1"/>
  <c r="AU9" i="6"/>
  <c r="AW9" i="6" s="1"/>
  <c r="AW5" i="6"/>
  <c r="AU5" i="6"/>
  <c r="AV5" i="6" s="1"/>
  <c r="AU4" i="6"/>
  <c r="AW4" i="6" s="1"/>
  <c r="AW3" i="6"/>
  <c r="AV3" i="6"/>
  <c r="AU3" i="6"/>
  <c r="AU10" i="2"/>
  <c r="AW10" i="2" s="1"/>
  <c r="AU9" i="2"/>
  <c r="AV9" i="2" s="1"/>
  <c r="AU8" i="2"/>
  <c r="AW8" i="2" s="1"/>
  <c r="AU5" i="2"/>
  <c r="AV5" i="2" s="1"/>
  <c r="AU4" i="2"/>
  <c r="AV4" i="2" s="1"/>
  <c r="AW3" i="2"/>
  <c r="AV3" i="2"/>
  <c r="AU3" i="2"/>
  <c r="Z4" i="6"/>
  <c r="V4" i="6"/>
  <c r="Z4" i="2"/>
  <c r="AA17" i="12"/>
  <c r="AA16" i="12"/>
  <c r="AA15" i="12"/>
  <c r="AC14" i="12"/>
  <c r="AB14" i="12"/>
  <c r="AB13" i="12"/>
  <c r="AA12" i="12"/>
  <c r="AA11" i="12"/>
  <c r="AA10" i="12"/>
  <c r="AC9" i="12"/>
  <c r="AB9" i="12"/>
  <c r="AB8" i="12"/>
  <c r="V9" i="12"/>
  <c r="V10" i="12" s="1"/>
  <c r="V12" i="12" s="1"/>
  <c r="Y4" i="12"/>
  <c r="V4" i="12"/>
  <c r="AZ10" i="11" l="1"/>
  <c r="AY4" i="11"/>
  <c r="AY9" i="11"/>
  <c r="AY5" i="11"/>
  <c r="AW10" i="12"/>
  <c r="AW9" i="2"/>
  <c r="AW5" i="2"/>
  <c r="AW4" i="12"/>
  <c r="AV9" i="12"/>
  <c r="AV4" i="6"/>
  <c r="AV9" i="6"/>
  <c r="AV10" i="6"/>
  <c r="AV11" i="6"/>
  <c r="AV10" i="2"/>
  <c r="V11" i="12"/>
  <c r="P33" i="11" l="1"/>
  <c r="K32" i="2" l="1"/>
  <c r="K32" i="6"/>
  <c r="K34" i="11"/>
  <c r="K36" i="12"/>
  <c r="I31" i="11"/>
  <c r="I33" i="12"/>
  <c r="I29" i="6"/>
  <c r="I29" i="2"/>
  <c r="Z15" i="6"/>
  <c r="Z14" i="6"/>
  <c r="V15" i="6"/>
  <c r="V14" i="6"/>
  <c r="K35" i="11" l="1"/>
  <c r="C35" i="11"/>
  <c r="C34" i="11"/>
  <c r="K37" i="12"/>
  <c r="C37" i="12"/>
  <c r="C36" i="12"/>
  <c r="K33" i="6"/>
  <c r="C33" i="6"/>
  <c r="K33" i="2"/>
  <c r="C33" i="2"/>
  <c r="C32" i="2"/>
  <c r="B25" i="12"/>
  <c r="B31" i="11" l="1"/>
  <c r="B33" i="12"/>
  <c r="B29" i="6"/>
  <c r="B29" i="2"/>
  <c r="AB4" i="12"/>
  <c r="AB3" i="12"/>
  <c r="AC3" i="12" l="1"/>
  <c r="AE3" i="12" s="1"/>
  <c r="B31" i="12" l="1"/>
  <c r="I28" i="12"/>
  <c r="B28" i="12"/>
  <c r="I27" i="12"/>
  <c r="B27" i="12"/>
  <c r="E22" i="12"/>
  <c r="C22" i="12"/>
  <c r="X21" i="12"/>
  <c r="AI3" i="12" s="1"/>
  <c r="W21" i="12"/>
  <c r="B20" i="12"/>
  <c r="B18" i="12"/>
  <c r="N17" i="12"/>
  <c r="E17" i="12"/>
  <c r="K17" i="12" s="1"/>
  <c r="C17" i="12"/>
  <c r="I17" i="12" s="1"/>
  <c r="N16" i="12"/>
  <c r="I16" i="12"/>
  <c r="B15" i="12"/>
  <c r="J10" i="12"/>
  <c r="J7" i="12"/>
  <c r="AK5" i="12"/>
  <c r="AK6" i="12" s="1"/>
  <c r="AG5" i="12"/>
  <c r="AB5" i="12"/>
  <c r="AC5" i="12" s="1"/>
  <c r="AA5" i="12"/>
  <c r="AA4" i="12"/>
  <c r="C28" i="12"/>
  <c r="K35" i="12" s="1"/>
  <c r="AJ3" i="12"/>
  <c r="AH3" i="12"/>
  <c r="AA3" i="12"/>
  <c r="AD2" i="11"/>
  <c r="AD3" i="11"/>
  <c r="AD4" i="11"/>
  <c r="AD5" i="11"/>
  <c r="AD6" i="11"/>
  <c r="AC2" i="11"/>
  <c r="AC3" i="11"/>
  <c r="AC4" i="11"/>
  <c r="AC5" i="11"/>
  <c r="AC6" i="11"/>
  <c r="AA2" i="11"/>
  <c r="AB2" i="11"/>
  <c r="Z3" i="11"/>
  <c r="AA3" i="11"/>
  <c r="AB3" i="11"/>
  <c r="Z4" i="11"/>
  <c r="AA4" i="11"/>
  <c r="AB4" i="11"/>
  <c r="Z5" i="11"/>
  <c r="AA5" i="11"/>
  <c r="AB5" i="11"/>
  <c r="AM5" i="11"/>
  <c r="AM6" i="11" s="1"/>
  <c r="AM7" i="11" s="1"/>
  <c r="AM8" i="11" s="1"/>
  <c r="AM9" i="11" s="1"/>
  <c r="AM10" i="11" s="1"/>
  <c r="AM11" i="11" s="1"/>
  <c r="AM12" i="11" s="1"/>
  <c r="AM13" i="11" s="1"/>
  <c r="AM14" i="11" s="1"/>
  <c r="AM15" i="11" s="1"/>
  <c r="AM16" i="11" s="1"/>
  <c r="AM17" i="11" s="1"/>
  <c r="AM18" i="11" s="1"/>
  <c r="AM19" i="11" s="1"/>
  <c r="AM20" i="11" s="1"/>
  <c r="AM21" i="11" s="1"/>
  <c r="AM22" i="11" s="1"/>
  <c r="AM23" i="11" s="1"/>
  <c r="AM24" i="11" s="1"/>
  <c r="AM25" i="11" s="1"/>
  <c r="AM26" i="11" s="1"/>
  <c r="AM27" i="11" s="1"/>
  <c r="AM28" i="11" s="1"/>
  <c r="AM29" i="11" s="1"/>
  <c r="AM30" i="11" s="1"/>
  <c r="AM31" i="11" s="1"/>
  <c r="AM32" i="11" s="1"/>
  <c r="AM33" i="11" s="1"/>
  <c r="AM34" i="11" s="1"/>
  <c r="AM35" i="11" s="1"/>
  <c r="AM36" i="11" s="1"/>
  <c r="AM37" i="11" s="1"/>
  <c r="AM38" i="11" s="1"/>
  <c r="AM39" i="11" s="1"/>
  <c r="AM40" i="11" s="1"/>
  <c r="AM41" i="11" s="1"/>
  <c r="AM42" i="11" s="1"/>
  <c r="AM43" i="11" s="1"/>
  <c r="AM44" i="11" s="1"/>
  <c r="AM45" i="11" s="1"/>
  <c r="AM46" i="11" s="1"/>
  <c r="AM47" i="11" s="1"/>
  <c r="AM48" i="11" s="1"/>
  <c r="AM49" i="11" s="1"/>
  <c r="AM50" i="11" s="1"/>
  <c r="AM51" i="11" s="1"/>
  <c r="AM52" i="11" s="1"/>
  <c r="AM53" i="11" s="1"/>
  <c r="W6" i="11"/>
  <c r="Z6" i="11"/>
  <c r="AA6" i="11"/>
  <c r="AB6" i="11"/>
  <c r="B8" i="11"/>
  <c r="Y3" i="11" s="1"/>
  <c r="B9" i="11"/>
  <c r="Y4" i="11" s="1"/>
  <c r="B10" i="11"/>
  <c r="Y5" i="11" s="1"/>
  <c r="B11" i="11"/>
  <c r="Y6" i="11" s="1"/>
  <c r="W12" i="11"/>
  <c r="X12" i="11"/>
  <c r="Y12" i="11"/>
  <c r="AN3" i="11" s="1"/>
  <c r="AR3" i="11" s="1"/>
  <c r="Z12" i="11"/>
  <c r="AO3" i="11" s="1"/>
  <c r="AS3" i="11" s="1"/>
  <c r="AA12" i="11"/>
  <c r="AP3" i="11" s="1"/>
  <c r="AT3" i="11" s="1"/>
  <c r="AB12" i="11"/>
  <c r="AQ3" i="11" s="1"/>
  <c r="AU3" i="11" s="1"/>
  <c r="B14" i="11"/>
  <c r="C16" i="11"/>
  <c r="H16" i="11" s="1"/>
  <c r="M16" i="11" s="1"/>
  <c r="E16" i="11"/>
  <c r="J16" i="11" s="1"/>
  <c r="O16" i="11" s="1"/>
  <c r="B17" i="11"/>
  <c r="B19" i="11"/>
  <c r="C21" i="11"/>
  <c r="E21" i="11"/>
  <c r="B24" i="11"/>
  <c r="B26" i="11"/>
  <c r="H26" i="11"/>
  <c r="L26" i="11"/>
  <c r="B27" i="11"/>
  <c r="H27" i="11"/>
  <c r="L27" i="11"/>
  <c r="B29" i="11"/>
  <c r="AX3" i="11" l="1"/>
  <c r="AZ8" i="11"/>
  <c r="AY8" i="11"/>
  <c r="C27" i="12"/>
  <c r="C35" i="12" s="1"/>
  <c r="AE5" i="12"/>
  <c r="O29" i="12" s="1"/>
  <c r="AK7" i="12"/>
  <c r="AG6" i="12"/>
  <c r="AG7" i="12" s="1"/>
  <c r="AG8" i="12" s="1"/>
  <c r="AG9" i="12" s="1"/>
  <c r="AG10" i="12" s="1"/>
  <c r="AG11" i="12" s="1"/>
  <c r="AG12" i="12" s="1"/>
  <c r="AG13" i="12" s="1"/>
  <c r="AG14" i="12" s="1"/>
  <c r="AG15" i="12" s="1"/>
  <c r="AG16" i="12" s="1"/>
  <c r="AG17" i="12" s="1"/>
  <c r="AG18" i="12" s="1"/>
  <c r="AG19" i="12" s="1"/>
  <c r="AG20" i="12" s="1"/>
  <c r="AG21" i="12" s="1"/>
  <c r="AG22" i="12" s="1"/>
  <c r="AG23" i="12" s="1"/>
  <c r="AG24" i="12" s="1"/>
  <c r="AG25" i="12" s="1"/>
  <c r="AG26" i="12" s="1"/>
  <c r="AG27" i="12" s="1"/>
  <c r="AG28" i="12" s="1"/>
  <c r="AG29" i="12" s="1"/>
  <c r="AG30" i="12" s="1"/>
  <c r="AG31" i="12" s="1"/>
  <c r="AG32" i="12" s="1"/>
  <c r="AG33" i="12" s="1"/>
  <c r="AG34" i="12" s="1"/>
  <c r="AG35" i="12" s="1"/>
  <c r="AG36" i="12" s="1"/>
  <c r="AG37" i="12" s="1"/>
  <c r="AG38" i="12" s="1"/>
  <c r="AG39" i="12" s="1"/>
  <c r="AG40" i="12" s="1"/>
  <c r="AG41" i="12" s="1"/>
  <c r="AG42" i="12" s="1"/>
  <c r="AG43" i="12" s="1"/>
  <c r="AG44" i="12" s="1"/>
  <c r="AG45" i="12" s="1"/>
  <c r="AG46" i="12" s="1"/>
  <c r="AG47" i="12" s="1"/>
  <c r="AG48" i="12" s="1"/>
  <c r="AG49" i="12" s="1"/>
  <c r="AG50" i="12" s="1"/>
  <c r="AG51" i="12" s="1"/>
  <c r="AG52" i="12" s="1"/>
  <c r="AG53" i="12" s="1"/>
  <c r="AG54" i="12" s="1"/>
  <c r="P17" i="12"/>
  <c r="AE6" i="11"/>
  <c r="AF6" i="11" s="1"/>
  <c r="R27" i="11" s="1"/>
  <c r="AE5" i="11"/>
  <c r="AF5" i="11" s="1"/>
  <c r="O17" i="11" s="1"/>
  <c r="AE4" i="11"/>
  <c r="AF4" i="11" s="1"/>
  <c r="AE3" i="11"/>
  <c r="AF3" i="11" s="1"/>
  <c r="O26" i="11" s="1"/>
  <c r="W5" i="11"/>
  <c r="C27" i="11" s="1"/>
  <c r="K33" i="11" s="1"/>
  <c r="AO4" i="11" a="1"/>
  <c r="AP4" i="11" a="1"/>
  <c r="AN4" i="11" a="1"/>
  <c r="AQ4" i="11" a="1"/>
  <c r="AZ3" i="11" l="1"/>
  <c r="AY3" i="11"/>
  <c r="AH4" i="12" a="1"/>
  <c r="AH39" i="12" s="1"/>
  <c r="C26" i="11"/>
  <c r="C33" i="11" s="1"/>
  <c r="H39" i="12"/>
  <c r="Y22" i="12"/>
  <c r="AC4" i="12"/>
  <c r="O27" i="12"/>
  <c r="AB12" i="12" s="1"/>
  <c r="AI4" i="12" a="1"/>
  <c r="AK8" i="12"/>
  <c r="AK9" i="12" s="1"/>
  <c r="AK10" i="12" s="1"/>
  <c r="AK11" i="12" s="1"/>
  <c r="AK12" i="12" s="1"/>
  <c r="AK13" i="12" s="1"/>
  <c r="AK14" i="12" s="1"/>
  <c r="AK15" i="12" s="1"/>
  <c r="AK16" i="12" s="1"/>
  <c r="AK17" i="12" s="1"/>
  <c r="AK18" i="12" s="1"/>
  <c r="AK19" i="12" s="1"/>
  <c r="AK20" i="12" s="1"/>
  <c r="AK21" i="12" s="1"/>
  <c r="AK22" i="12" s="1"/>
  <c r="AK23" i="12" s="1"/>
  <c r="AK24" i="12" s="1"/>
  <c r="AK25" i="12" s="1"/>
  <c r="AK26" i="12" s="1"/>
  <c r="AK27" i="12" s="1"/>
  <c r="AK28" i="12" s="1"/>
  <c r="AK29" i="12" s="1"/>
  <c r="AK30" i="12" s="1"/>
  <c r="AK31" i="12" s="1"/>
  <c r="AK32" i="12" s="1"/>
  <c r="AK33" i="12" s="1"/>
  <c r="AK34" i="12" s="1"/>
  <c r="AK35" i="12" s="1"/>
  <c r="AK36" i="12" s="1"/>
  <c r="AK37" i="12" s="1"/>
  <c r="AK38" i="12" s="1"/>
  <c r="AK39" i="12" s="1"/>
  <c r="AK40" i="12" s="1"/>
  <c r="AK41" i="12" s="1"/>
  <c r="AK42" i="12" s="1"/>
  <c r="AK43" i="12" s="1"/>
  <c r="AK44" i="12" s="1"/>
  <c r="AK45" i="12" s="1"/>
  <c r="AK46" i="12" s="1"/>
  <c r="AK47" i="12" s="1"/>
  <c r="AK48" i="12" s="1"/>
  <c r="AK49" i="12" s="1"/>
  <c r="AK50" i="12" s="1"/>
  <c r="AK51" i="12" s="1"/>
  <c r="AK52" i="12" s="1"/>
  <c r="AK53" i="12" s="1"/>
  <c r="AK54" i="12" s="1"/>
  <c r="AK55" i="12" s="1"/>
  <c r="AK56" i="12" s="1"/>
  <c r="AK57" i="12" s="1"/>
  <c r="AK58" i="12" s="1"/>
  <c r="AK59" i="12" s="1"/>
  <c r="AK60" i="12" s="1"/>
  <c r="AK61" i="12" s="1"/>
  <c r="AK62" i="12" s="1"/>
  <c r="AK63" i="12" s="1"/>
  <c r="AK64" i="12" s="1"/>
  <c r="AK65" i="12" s="1"/>
  <c r="AK66" i="12" s="1"/>
  <c r="AK67" i="12" s="1"/>
  <c r="AK68" i="12" s="1"/>
  <c r="AK69" i="12" s="1"/>
  <c r="AK70" i="12" s="1"/>
  <c r="AK71" i="12" s="1"/>
  <c r="AK72" i="12" s="1"/>
  <c r="AK73" i="12" s="1"/>
  <c r="AK74" i="12" s="1"/>
  <c r="AK75" i="12" s="1"/>
  <c r="AK76" i="12" s="1"/>
  <c r="AK77" i="12" s="1"/>
  <c r="AK78" i="12" s="1"/>
  <c r="AK79" i="12" s="1"/>
  <c r="AK80" i="12" s="1"/>
  <c r="AK81" i="12" s="1"/>
  <c r="AK82" i="12" s="1"/>
  <c r="AK83" i="12" s="1"/>
  <c r="AK84" i="12" s="1"/>
  <c r="AK85" i="12" s="1"/>
  <c r="AK86" i="12" s="1"/>
  <c r="AK87" i="12" s="1"/>
  <c r="AK88" i="12" s="1"/>
  <c r="AK89" i="12" s="1"/>
  <c r="AK90" i="12" s="1"/>
  <c r="AK91" i="12" s="1"/>
  <c r="AK92" i="12" s="1"/>
  <c r="AK93" i="12" s="1"/>
  <c r="AK94" i="12" s="1"/>
  <c r="AK95" i="12" s="1"/>
  <c r="AK96" i="12" s="1"/>
  <c r="AK97" i="12" s="1"/>
  <c r="AK98" i="12" s="1"/>
  <c r="AK99" i="12" s="1"/>
  <c r="AK100" i="12" s="1"/>
  <c r="AK101" i="12" s="1"/>
  <c r="AK102" i="12" s="1"/>
  <c r="AK103" i="12" s="1"/>
  <c r="AK104" i="12" s="1"/>
  <c r="AD21" i="12"/>
  <c r="AI54" i="12" a="1"/>
  <c r="AI54" i="12" s="1"/>
  <c r="AH54" i="12" a="1"/>
  <c r="AH54" i="12" s="1"/>
  <c r="Y13" i="11"/>
  <c r="AB13" i="11"/>
  <c r="O19" i="11"/>
  <c r="J19" i="11" s="1"/>
  <c r="M17" i="11"/>
  <c r="AA13" i="11"/>
  <c r="R26" i="11"/>
  <c r="AO12" i="11"/>
  <c r="AO15" i="11"/>
  <c r="AO19" i="11"/>
  <c r="AO21" i="11"/>
  <c r="AO23" i="11"/>
  <c r="AO28" i="11"/>
  <c r="AO35" i="11"/>
  <c r="AO4" i="11"/>
  <c r="AO6" i="11"/>
  <c r="AO9" i="11"/>
  <c r="AO11" i="11"/>
  <c r="AO13" i="11"/>
  <c r="AO17" i="11"/>
  <c r="AO20" i="11"/>
  <c r="AO22" i="11"/>
  <c r="AO34" i="11"/>
  <c r="AO5" i="11"/>
  <c r="AO8" i="11"/>
  <c r="AO18" i="11"/>
  <c r="AO24" i="11"/>
  <c r="AO16" i="11"/>
  <c r="AO26" i="11"/>
  <c r="AO31" i="11"/>
  <c r="AO36" i="11"/>
  <c r="AO40" i="11"/>
  <c r="AO44" i="11"/>
  <c r="AO48" i="11"/>
  <c r="AO52" i="11"/>
  <c r="AO27" i="11"/>
  <c r="AO30" i="11"/>
  <c r="AO10" i="11"/>
  <c r="AO14" i="11"/>
  <c r="AO25" i="11"/>
  <c r="AO32" i="11"/>
  <c r="AO37" i="11"/>
  <c r="AO41" i="11"/>
  <c r="AO45" i="11"/>
  <c r="AO49" i="11"/>
  <c r="AO53" i="11"/>
  <c r="AO54" i="11"/>
  <c r="AO33" i="11"/>
  <c r="AO38" i="11"/>
  <c r="AO42" i="11"/>
  <c r="AO46" i="11"/>
  <c r="AO50" i="11"/>
  <c r="AO39" i="11"/>
  <c r="AO43" i="11"/>
  <c r="AO47" i="11"/>
  <c r="AO7" i="11"/>
  <c r="AO29" i="11"/>
  <c r="AO51" i="11"/>
  <c r="AQ5" i="11"/>
  <c r="AQ8" i="11"/>
  <c r="AQ18" i="11"/>
  <c r="AQ24" i="11"/>
  <c r="AQ29" i="11"/>
  <c r="AQ31" i="11"/>
  <c r="AQ33" i="11"/>
  <c r="AQ4" i="11"/>
  <c r="AQ7" i="11"/>
  <c r="AQ10" i="11"/>
  <c r="AQ14" i="11"/>
  <c r="AQ16" i="11"/>
  <c r="AQ25" i="11"/>
  <c r="AQ26" i="11"/>
  <c r="AQ27" i="11"/>
  <c r="AQ30" i="11"/>
  <c r="AQ32" i="11"/>
  <c r="AQ12" i="11"/>
  <c r="AQ15" i="11"/>
  <c r="AQ19" i="11"/>
  <c r="AQ21" i="11"/>
  <c r="AQ23" i="11"/>
  <c r="AQ6" i="11"/>
  <c r="AQ38" i="11"/>
  <c r="AQ42" i="11"/>
  <c r="AQ46" i="11"/>
  <c r="AQ50" i="11"/>
  <c r="AQ11" i="11"/>
  <c r="AQ17" i="11"/>
  <c r="AQ34" i="11"/>
  <c r="AQ35" i="11"/>
  <c r="AQ39" i="11"/>
  <c r="AQ43" i="11"/>
  <c r="AQ47" i="11"/>
  <c r="AQ51" i="11"/>
  <c r="AQ20" i="11"/>
  <c r="AQ28" i="11"/>
  <c r="AQ36" i="11"/>
  <c r="AQ40" i="11"/>
  <c r="AQ44" i="11"/>
  <c r="AQ48" i="11"/>
  <c r="AQ52" i="11"/>
  <c r="AQ37" i="11"/>
  <c r="AQ41" i="11"/>
  <c r="AQ45" i="11"/>
  <c r="AQ9" i="11"/>
  <c r="AQ13" i="11"/>
  <c r="AQ22" i="11"/>
  <c r="AQ54" i="11"/>
  <c r="AQ49" i="11"/>
  <c r="AQ53" i="11"/>
  <c r="Z13" i="11"/>
  <c r="M19" i="11"/>
  <c r="O27" i="11"/>
  <c r="AN6" i="11"/>
  <c r="AN9" i="11"/>
  <c r="AN11" i="11"/>
  <c r="AN13" i="11"/>
  <c r="AN17" i="11"/>
  <c r="AN20" i="11"/>
  <c r="AN22" i="11"/>
  <c r="AN34" i="11"/>
  <c r="AN5" i="11"/>
  <c r="AN8" i="11"/>
  <c r="AN18" i="11"/>
  <c r="AN24" i="11"/>
  <c r="AN29" i="11"/>
  <c r="AN31" i="11"/>
  <c r="AN33" i="11"/>
  <c r="AN7" i="11"/>
  <c r="AN10" i="11"/>
  <c r="AN14" i="11"/>
  <c r="AN16" i="11"/>
  <c r="AN25" i="11"/>
  <c r="AN26" i="11"/>
  <c r="AN27" i="11"/>
  <c r="AN4" i="11"/>
  <c r="AN23" i="11"/>
  <c r="AN32" i="11"/>
  <c r="AN37" i="11"/>
  <c r="AN41" i="11"/>
  <c r="AN45" i="11"/>
  <c r="AN49" i="11"/>
  <c r="AN53" i="11"/>
  <c r="AN54" i="11"/>
  <c r="AN21" i="11"/>
  <c r="AN12" i="11"/>
  <c r="AN28" i="11"/>
  <c r="AN38" i="11"/>
  <c r="AN42" i="11"/>
  <c r="AN46" i="11"/>
  <c r="AN50" i="11"/>
  <c r="AN30" i="11"/>
  <c r="AN39" i="11"/>
  <c r="AN43" i="11"/>
  <c r="AN47" i="11"/>
  <c r="AN51" i="11"/>
  <c r="AN15" i="11"/>
  <c r="AN19" i="11"/>
  <c r="AN35" i="11"/>
  <c r="AN36" i="11"/>
  <c r="AN40" i="11"/>
  <c r="AN44" i="11"/>
  <c r="AN48" i="11"/>
  <c r="AN52" i="11"/>
  <c r="J17" i="11"/>
  <c r="AP7" i="11"/>
  <c r="AP10" i="11"/>
  <c r="AP14" i="11"/>
  <c r="AP16" i="11"/>
  <c r="AP25" i="11"/>
  <c r="AP26" i="11"/>
  <c r="AP27" i="11"/>
  <c r="AP30" i="11"/>
  <c r="AP32" i="11"/>
  <c r="AP12" i="11"/>
  <c r="AP15" i="11"/>
  <c r="AP19" i="11"/>
  <c r="AP21" i="11"/>
  <c r="AP23" i="11"/>
  <c r="AP28" i="11"/>
  <c r="AP6" i="11"/>
  <c r="AP9" i="11"/>
  <c r="AP11" i="11"/>
  <c r="AP13" i="11"/>
  <c r="AP17" i="11"/>
  <c r="AP20" i="11"/>
  <c r="AP22" i="11"/>
  <c r="AP34" i="11"/>
  <c r="AP35" i="11"/>
  <c r="AP39" i="11"/>
  <c r="AP43" i="11"/>
  <c r="AP47" i="11"/>
  <c r="AP51" i="11"/>
  <c r="AP24" i="11"/>
  <c r="AP29" i="11"/>
  <c r="AP4" i="11"/>
  <c r="AP5" i="11"/>
  <c r="AP31" i="11"/>
  <c r="AP36" i="11"/>
  <c r="AP40" i="11"/>
  <c r="AP44" i="11"/>
  <c r="AP48" i="11"/>
  <c r="AP52" i="11"/>
  <c r="AP37" i="11"/>
  <c r="AP41" i="11"/>
  <c r="AP45" i="11"/>
  <c r="AP49" i="11"/>
  <c r="AP53" i="11"/>
  <c r="AP54" i="11"/>
  <c r="AP18" i="11"/>
  <c r="AP33" i="11"/>
  <c r="AP38" i="11"/>
  <c r="AP42" i="11"/>
  <c r="AP46" i="11"/>
  <c r="AP8" i="11"/>
  <c r="AP50" i="11"/>
  <c r="AB17" i="12" l="1"/>
  <c r="AB10" i="12"/>
  <c r="AB11" i="12" s="1"/>
  <c r="AB16" i="12" s="1"/>
  <c r="AH41" i="12"/>
  <c r="AH48" i="12"/>
  <c r="AH5" i="12"/>
  <c r="AH11" i="12"/>
  <c r="AH6" i="12"/>
  <c r="AH31" i="12"/>
  <c r="AH22" i="12"/>
  <c r="AH18" i="12"/>
  <c r="AH43" i="12"/>
  <c r="AH14" i="12"/>
  <c r="AH49" i="12"/>
  <c r="AH45" i="12"/>
  <c r="AH4" i="12"/>
  <c r="AH21" i="12"/>
  <c r="AH28" i="12"/>
  <c r="AH52" i="12"/>
  <c r="AH24" i="12"/>
  <c r="AH15" i="12"/>
  <c r="AH47" i="12"/>
  <c r="AH10" i="12"/>
  <c r="AH53" i="12"/>
  <c r="AH44" i="12"/>
  <c r="AH37" i="12"/>
  <c r="AH40" i="12"/>
  <c r="AH27" i="12"/>
  <c r="AH9" i="12"/>
  <c r="AH30" i="12"/>
  <c r="AH32" i="12"/>
  <c r="AH12" i="12"/>
  <c r="AH33" i="12"/>
  <c r="AH20" i="12"/>
  <c r="AH16" i="12"/>
  <c r="AH8" i="12"/>
  <c r="AH29" i="12"/>
  <c r="AH50" i="12"/>
  <c r="AH19" i="12"/>
  <c r="AH35" i="12"/>
  <c r="AH51" i="12"/>
  <c r="AH25" i="12"/>
  <c r="AH46" i="12"/>
  <c r="AH42" i="12"/>
  <c r="AH17" i="12"/>
  <c r="AH38" i="12"/>
  <c r="AH36" i="12"/>
  <c r="AH26" i="12"/>
  <c r="AH13" i="12"/>
  <c r="AH34" i="12"/>
  <c r="AH7" i="12"/>
  <c r="AH23" i="12"/>
  <c r="H17" i="11"/>
  <c r="AE4" i="12"/>
  <c r="O28" i="12" s="1"/>
  <c r="AC12" i="12" s="1"/>
  <c r="W22" i="12"/>
  <c r="AI52" i="12"/>
  <c r="AI48" i="12"/>
  <c r="AI44" i="12"/>
  <c r="AI40" i="12"/>
  <c r="AI36" i="12"/>
  <c r="AI32" i="12"/>
  <c r="AI28" i="12"/>
  <c r="AI24" i="12"/>
  <c r="AI20" i="12"/>
  <c r="AI16" i="12"/>
  <c r="AI12" i="12"/>
  <c r="AI8" i="12"/>
  <c r="AI4" i="12"/>
  <c r="AI53" i="12"/>
  <c r="AI47" i="12"/>
  <c r="AI42" i="12"/>
  <c r="AI37" i="12"/>
  <c r="AI31" i="12"/>
  <c r="AI26" i="12"/>
  <c r="AI21" i="12"/>
  <c r="AI15" i="12"/>
  <c r="AI10" i="12"/>
  <c r="AI5" i="12"/>
  <c r="AI45" i="12"/>
  <c r="AI34" i="12"/>
  <c r="AI23" i="12"/>
  <c r="AI7" i="12"/>
  <c r="AI49" i="12"/>
  <c r="AI38" i="12"/>
  <c r="AI33" i="12"/>
  <c r="AI27" i="12"/>
  <c r="AI22" i="12"/>
  <c r="AI17" i="12"/>
  <c r="AI11" i="12"/>
  <c r="AI6" i="12"/>
  <c r="AI51" i="12"/>
  <c r="AI46" i="12"/>
  <c r="AI41" i="12"/>
  <c r="AI35" i="12"/>
  <c r="AI30" i="12"/>
  <c r="AI25" i="12"/>
  <c r="AI19" i="12"/>
  <c r="AI14" i="12"/>
  <c r="AI9" i="12"/>
  <c r="AI50" i="12"/>
  <c r="AI39" i="12"/>
  <c r="AI29" i="12"/>
  <c r="AI13" i="12"/>
  <c r="AI18" i="12"/>
  <c r="AI43" i="12"/>
  <c r="AJ4" i="12" a="1"/>
  <c r="O21" i="11"/>
  <c r="J21" i="11" s="1"/>
  <c r="AN55" i="11"/>
  <c r="AR52" i="11" s="1"/>
  <c r="H19" i="11"/>
  <c r="M21" i="11"/>
  <c r="J27" i="11"/>
  <c r="W4" i="11" s="1"/>
  <c r="V13" i="11" s="1"/>
  <c r="AO55" i="11"/>
  <c r="AS46" i="11" s="1"/>
  <c r="AQ55" i="11"/>
  <c r="AU48" i="11" s="1"/>
  <c r="AP55" i="11"/>
  <c r="AT8" i="11" s="1"/>
  <c r="AC17" i="12" l="1"/>
  <c r="AC10" i="12"/>
  <c r="AC15" i="12" s="1"/>
  <c r="AB15" i="12"/>
  <c r="N18" i="12"/>
  <c r="W9" i="11"/>
  <c r="W8" i="11" s="1"/>
  <c r="X13" i="11" s="1"/>
  <c r="J26" i="11"/>
  <c r="W3" i="11" s="1"/>
  <c r="U13" i="11" s="1"/>
  <c r="X22" i="12"/>
  <c r="V14" i="12" s="1"/>
  <c r="AJ102" i="12"/>
  <c r="AJ98" i="12"/>
  <c r="AJ94" i="12"/>
  <c r="AJ90" i="12"/>
  <c r="AJ86" i="12"/>
  <c r="AJ82" i="12"/>
  <c r="AJ78" i="12"/>
  <c r="AJ74" i="12"/>
  <c r="AJ70" i="12"/>
  <c r="AJ66" i="12"/>
  <c r="AJ62" i="12"/>
  <c r="AJ58" i="12"/>
  <c r="AJ54" i="12"/>
  <c r="AJ50" i="12"/>
  <c r="AJ46" i="12"/>
  <c r="AJ42" i="12"/>
  <c r="AJ38" i="12"/>
  <c r="AJ34" i="12"/>
  <c r="AJ30" i="12"/>
  <c r="AJ26" i="12"/>
  <c r="AJ22" i="12"/>
  <c r="AJ18" i="12"/>
  <c r="AJ103" i="12"/>
  <c r="AJ97" i="12"/>
  <c r="AJ92" i="12"/>
  <c r="AJ87" i="12"/>
  <c r="AJ81" i="12"/>
  <c r="AJ76" i="12"/>
  <c r="AJ71" i="12"/>
  <c r="AJ65" i="12"/>
  <c r="AJ60" i="12"/>
  <c r="AJ55" i="12"/>
  <c r="AJ49" i="12"/>
  <c r="AJ44" i="12"/>
  <c r="AJ39" i="12"/>
  <c r="AJ33" i="12"/>
  <c r="AJ28" i="12"/>
  <c r="AJ23" i="12"/>
  <c r="AJ17" i="12"/>
  <c r="AJ13" i="12"/>
  <c r="AJ9" i="12"/>
  <c r="AJ5" i="12"/>
  <c r="AJ104" i="12"/>
  <c r="AJ96" i="12"/>
  <c r="AJ89" i="12"/>
  <c r="AJ83" i="12"/>
  <c r="AJ75" i="12"/>
  <c r="AJ68" i="12"/>
  <c r="AJ61" i="12"/>
  <c r="AJ53" i="12"/>
  <c r="AJ47" i="12"/>
  <c r="AJ40" i="12"/>
  <c r="AJ32" i="12"/>
  <c r="AJ25" i="12"/>
  <c r="AJ19" i="12"/>
  <c r="AJ12" i="12"/>
  <c r="AJ7" i="12"/>
  <c r="AJ43" i="12"/>
  <c r="AJ15" i="12"/>
  <c r="AJ69" i="12"/>
  <c r="AJ48" i="12"/>
  <c r="AJ35" i="12"/>
  <c r="AJ20" i="12"/>
  <c r="AJ8" i="12"/>
  <c r="AJ101" i="12"/>
  <c r="AJ95" i="12"/>
  <c r="AJ88" i="12"/>
  <c r="AJ80" i="12"/>
  <c r="AJ73" i="12"/>
  <c r="AJ67" i="12"/>
  <c r="AJ59" i="12"/>
  <c r="AJ52" i="12"/>
  <c r="AJ45" i="12"/>
  <c r="AJ37" i="12"/>
  <c r="AJ31" i="12"/>
  <c r="AJ24" i="12"/>
  <c r="AJ16" i="12"/>
  <c r="AJ11" i="12"/>
  <c r="AJ6" i="12"/>
  <c r="AJ100" i="12"/>
  <c r="AJ85" i="12"/>
  <c r="AJ79" i="12"/>
  <c r="AJ72" i="12"/>
  <c r="AJ64" i="12"/>
  <c r="AJ51" i="12"/>
  <c r="AJ36" i="12"/>
  <c r="AJ21" i="12"/>
  <c r="AJ10" i="12"/>
  <c r="AJ99" i="12"/>
  <c r="AJ91" i="12"/>
  <c r="AJ84" i="12"/>
  <c r="AJ77" i="12"/>
  <c r="AJ63" i="12"/>
  <c r="AJ56" i="12"/>
  <c r="AJ41" i="12"/>
  <c r="AJ27" i="12"/>
  <c r="AJ14" i="12"/>
  <c r="AJ93" i="12"/>
  <c r="AJ57" i="12"/>
  <c r="AJ29" i="12"/>
  <c r="AJ4" i="12"/>
  <c r="AR24" i="11"/>
  <c r="AR7" i="11"/>
  <c r="AR40" i="11"/>
  <c r="AR21" i="11"/>
  <c r="AR49" i="11"/>
  <c r="AR15" i="11"/>
  <c r="AR5" i="11"/>
  <c r="AR20" i="11"/>
  <c r="AR32" i="11"/>
  <c r="AR27" i="11"/>
  <c r="AR43" i="11"/>
  <c r="AR37" i="11"/>
  <c r="AR11" i="11"/>
  <c r="AR16" i="11"/>
  <c r="AR50" i="11"/>
  <c r="AS26" i="11"/>
  <c r="AU36" i="11"/>
  <c r="AU53" i="11"/>
  <c r="AS48" i="11"/>
  <c r="AR45" i="11"/>
  <c r="AR29" i="11"/>
  <c r="AR19" i="11"/>
  <c r="AR8" i="11"/>
  <c r="AR47" i="11"/>
  <c r="AU23" i="11"/>
  <c r="AU51" i="11"/>
  <c r="AS6" i="11"/>
  <c r="AU18" i="11"/>
  <c r="AU31" i="11"/>
  <c r="AU15" i="11"/>
  <c r="AR54" i="11"/>
  <c r="AS40" i="11"/>
  <c r="AS49" i="11"/>
  <c r="AS42" i="11"/>
  <c r="AS33" i="11"/>
  <c r="AR13" i="11"/>
  <c r="AR25" i="11"/>
  <c r="AR42" i="11"/>
  <c r="AR6" i="11"/>
  <c r="AR10" i="11"/>
  <c r="AR12" i="11"/>
  <c r="AR44" i="11"/>
  <c r="AR31" i="11"/>
  <c r="AR53" i="11"/>
  <c r="AR35" i="11"/>
  <c r="AR18" i="11"/>
  <c r="AR4" i="11"/>
  <c r="AR51" i="11"/>
  <c r="AR22" i="11"/>
  <c r="AR30" i="11"/>
  <c r="AR34" i="11"/>
  <c r="AR23" i="11"/>
  <c r="AR39" i="11"/>
  <c r="AS28" i="11"/>
  <c r="AR17" i="11"/>
  <c r="AR26" i="11"/>
  <c r="AR46" i="11"/>
  <c r="AS11" i="11"/>
  <c r="AR9" i="11"/>
  <c r="AR14" i="11"/>
  <c r="AR28" i="11"/>
  <c r="AR48" i="11"/>
  <c r="AR33" i="11"/>
  <c r="AR41" i="11"/>
  <c r="AR36" i="11"/>
  <c r="AS12" i="11"/>
  <c r="AS5" i="11"/>
  <c r="AS25" i="11"/>
  <c r="AS7" i="11"/>
  <c r="AU26" i="11"/>
  <c r="AU34" i="11"/>
  <c r="AU9" i="11"/>
  <c r="AT27" i="11"/>
  <c r="AT34" i="11"/>
  <c r="AT40" i="11"/>
  <c r="AT50" i="11"/>
  <c r="AS20" i="11"/>
  <c r="AS30" i="11"/>
  <c r="AS39" i="11"/>
  <c r="AU14" i="11"/>
  <c r="AU50" i="11"/>
  <c r="AU37" i="11"/>
  <c r="AT16" i="11"/>
  <c r="AT17" i="11"/>
  <c r="AT44" i="11"/>
  <c r="AS19" i="11"/>
  <c r="AS18" i="11"/>
  <c r="AS37" i="11"/>
  <c r="AS51" i="11"/>
  <c r="AU16" i="11"/>
  <c r="AU11" i="11"/>
  <c r="AU41" i="11"/>
  <c r="AT25" i="11"/>
  <c r="AT20" i="11"/>
  <c r="AT48" i="11"/>
  <c r="AS21" i="11"/>
  <c r="AS34" i="11"/>
  <c r="AS14" i="11"/>
  <c r="AS47" i="11"/>
  <c r="AU25" i="11"/>
  <c r="AU17" i="11"/>
  <c r="AU45" i="11"/>
  <c r="AT26" i="11"/>
  <c r="AT22" i="11"/>
  <c r="AT52" i="11"/>
  <c r="AT28" i="11"/>
  <c r="AT53" i="11"/>
  <c r="AT19" i="11"/>
  <c r="AT54" i="11"/>
  <c r="AU20" i="11"/>
  <c r="AS23" i="11"/>
  <c r="AS16" i="11"/>
  <c r="AS45" i="11"/>
  <c r="AU8" i="11"/>
  <c r="AU12" i="11"/>
  <c r="AU47" i="11"/>
  <c r="AU49" i="11"/>
  <c r="AT15" i="11"/>
  <c r="AT47" i="11"/>
  <c r="AT37" i="11"/>
  <c r="AS15" i="11"/>
  <c r="AS8" i="11"/>
  <c r="AS32" i="11"/>
  <c r="AS29" i="11"/>
  <c r="AU27" i="11"/>
  <c r="AU35" i="11"/>
  <c r="AU13" i="11"/>
  <c r="AT30" i="11"/>
  <c r="AT35" i="11"/>
  <c r="AT41" i="11"/>
  <c r="AS35" i="11"/>
  <c r="AS31" i="11"/>
  <c r="AS53" i="11"/>
  <c r="AU24" i="11"/>
  <c r="AU30" i="11"/>
  <c r="AU39" i="11"/>
  <c r="AU22" i="11"/>
  <c r="AT32" i="11"/>
  <c r="AT39" i="11"/>
  <c r="AT45" i="11"/>
  <c r="AS4" i="11"/>
  <c r="AS24" i="11"/>
  <c r="AS41" i="11"/>
  <c r="AU5" i="11"/>
  <c r="AU32" i="11"/>
  <c r="AU43" i="11"/>
  <c r="AU54" i="11"/>
  <c r="AT12" i="11"/>
  <c r="AT43" i="11"/>
  <c r="AT49" i="11"/>
  <c r="AR38" i="11"/>
  <c r="AT23" i="11"/>
  <c r="AT29" i="11"/>
  <c r="AT33" i="11"/>
  <c r="AT51" i="11"/>
  <c r="AU19" i="11"/>
  <c r="AT21" i="11"/>
  <c r="AT24" i="11"/>
  <c r="AT18" i="11"/>
  <c r="AS36" i="11"/>
  <c r="AS54" i="11"/>
  <c r="AU29" i="11"/>
  <c r="AU21" i="11"/>
  <c r="AU28" i="11"/>
  <c r="AS17" i="11"/>
  <c r="AS27" i="11"/>
  <c r="AS50" i="11"/>
  <c r="AU10" i="11"/>
  <c r="AU46" i="11"/>
  <c r="AU52" i="11"/>
  <c r="AT14" i="11"/>
  <c r="AT13" i="11"/>
  <c r="AT4" i="11"/>
  <c r="AT38" i="11"/>
  <c r="AS9" i="11"/>
  <c r="AS44" i="11"/>
  <c r="AS38" i="11"/>
  <c r="AU33" i="11"/>
  <c r="AU6" i="11"/>
  <c r="AU40" i="11"/>
  <c r="AT6" i="11"/>
  <c r="AT5" i="11"/>
  <c r="AT42" i="11"/>
  <c r="AS22" i="11"/>
  <c r="AS10" i="11"/>
  <c r="AS43" i="11"/>
  <c r="AU4" i="11"/>
  <c r="AU38" i="11"/>
  <c r="AU44" i="11"/>
  <c r="AT7" i="11"/>
  <c r="AT9" i="11"/>
  <c r="AT31" i="11"/>
  <c r="AT46" i="11"/>
  <c r="AS13" i="11"/>
  <c r="AS52" i="11"/>
  <c r="AU7" i="11"/>
  <c r="AU42" i="11"/>
  <c r="M23" i="11"/>
  <c r="H21" i="11"/>
  <c r="H23" i="11" s="1"/>
  <c r="AT10" i="11"/>
  <c r="AT11" i="11"/>
  <c r="AT36" i="11"/>
  <c r="AB22" i="12" l="1"/>
  <c r="AC11" i="12"/>
  <c r="AC16" i="12" s="1"/>
  <c r="AB23" i="12" s="1"/>
  <c r="AB20" i="12"/>
  <c r="N20" i="12"/>
  <c r="N22" i="12" s="1"/>
  <c r="W7" i="11"/>
  <c r="W13" i="11" s="1"/>
  <c r="AB21" i="12" l="1"/>
  <c r="P18" i="12"/>
  <c r="I22" i="12"/>
  <c r="K22" i="12" l="1"/>
  <c r="Y5" i="12"/>
  <c r="V5" i="12"/>
  <c r="V7" i="12"/>
  <c r="Z9" i="6"/>
  <c r="V9" i="6"/>
  <c r="X10" i="12" l="1"/>
  <c r="X12" i="12"/>
  <c r="P20" i="12"/>
  <c r="M30" i="12" s="1"/>
  <c r="X11" i="12"/>
  <c r="X9" i="12"/>
  <c r="T22" i="12"/>
  <c r="Z10" i="6"/>
  <c r="Z12" i="6" s="1"/>
  <c r="AC6" i="6" s="1"/>
  <c r="V10" i="6"/>
  <c r="V12" i="6" s="1"/>
  <c r="AC4" i="6" s="1"/>
  <c r="V11" i="6"/>
  <c r="AC3" i="6" s="1"/>
  <c r="Z11" i="6"/>
  <c r="AC5" i="6" s="1"/>
  <c r="V3" i="12" l="1"/>
  <c r="P22" i="12"/>
  <c r="I24" i="12"/>
  <c r="S22" i="12"/>
  <c r="V9" i="2"/>
  <c r="Z9" i="2"/>
  <c r="Z10" i="2" s="1"/>
  <c r="Y11" i="12" l="1"/>
  <c r="Y6" i="12"/>
  <c r="L27" i="12"/>
  <c r="Y3" i="12" s="1"/>
  <c r="V10" i="2"/>
  <c r="V12" i="2" s="1"/>
  <c r="AC4" i="2" s="1"/>
  <c r="AD4" i="2" s="1"/>
  <c r="AE4" i="2" s="1"/>
  <c r="V11" i="2"/>
  <c r="N24" i="12"/>
  <c r="Y10" i="12"/>
  <c r="Y12" i="12"/>
  <c r="Y9" i="12"/>
  <c r="Z11" i="2"/>
  <c r="V22" i="12" l="1"/>
  <c r="U22" i="12"/>
  <c r="AC5" i="2"/>
  <c r="AC3" i="2"/>
  <c r="Z12" i="2"/>
  <c r="G18" i="2"/>
  <c r="G20" i="2"/>
  <c r="C22" i="2"/>
  <c r="E22" i="2"/>
  <c r="C22" i="6"/>
  <c r="E22" i="6"/>
  <c r="B8" i="6"/>
  <c r="AB3" i="6" s="1"/>
  <c r="AM3" i="6"/>
  <c r="AN3" i="6"/>
  <c r="AO3" i="6"/>
  <c r="AP3" i="6"/>
  <c r="B9" i="6"/>
  <c r="AB4" i="6" s="1"/>
  <c r="AL5" i="6"/>
  <c r="J7" i="6"/>
  <c r="B10" i="6"/>
  <c r="AB5" i="6" s="1"/>
  <c r="B11" i="6"/>
  <c r="AB6" i="6" s="1"/>
  <c r="B15" i="6"/>
  <c r="C17" i="6"/>
  <c r="J17" i="6" s="1"/>
  <c r="E17" i="6"/>
  <c r="L17" i="6" s="1"/>
  <c r="N17" i="6"/>
  <c r="B18" i="6"/>
  <c r="I18" i="6" s="1"/>
  <c r="G18" i="6"/>
  <c r="B20" i="6"/>
  <c r="I20" i="6" s="1"/>
  <c r="G20" i="6"/>
  <c r="U21" i="6"/>
  <c r="V21" i="6"/>
  <c r="I22" i="6"/>
  <c r="B26" i="6"/>
  <c r="I26" i="6"/>
  <c r="B27" i="6"/>
  <c r="I27" i="6"/>
  <c r="L35" i="6"/>
  <c r="B8" i="2"/>
  <c r="AB3" i="2" s="1"/>
  <c r="AI3" i="2"/>
  <c r="AM3" i="2" s="1"/>
  <c r="AJ3" i="2"/>
  <c r="AN3" i="2" s="1"/>
  <c r="AK3" i="2"/>
  <c r="AO3" i="2" s="1"/>
  <c r="AL3" i="2"/>
  <c r="AP3" i="2" s="1"/>
  <c r="B9" i="2"/>
  <c r="AB4" i="2" s="1"/>
  <c r="AH5" i="2"/>
  <c r="AH6" i="2" s="1"/>
  <c r="AH7" i="2" s="1"/>
  <c r="AH8" i="2" s="1"/>
  <c r="AH9" i="2" s="1"/>
  <c r="AH10" i="2" s="1"/>
  <c r="AH11" i="2" s="1"/>
  <c r="AH12" i="2" s="1"/>
  <c r="AH13" i="2" s="1"/>
  <c r="AH14" i="2" s="1"/>
  <c r="AH15" i="2" s="1"/>
  <c r="AH16" i="2" s="1"/>
  <c r="AH17" i="2" s="1"/>
  <c r="AH18" i="2" s="1"/>
  <c r="AH19" i="2" s="1"/>
  <c r="AH20" i="2" s="1"/>
  <c r="AH21" i="2" s="1"/>
  <c r="AH22" i="2" s="1"/>
  <c r="AH23" i="2" s="1"/>
  <c r="AH24" i="2" s="1"/>
  <c r="AH25" i="2" s="1"/>
  <c r="AH26" i="2" s="1"/>
  <c r="AH27" i="2" s="1"/>
  <c r="AH28" i="2" s="1"/>
  <c r="AH29" i="2" s="1"/>
  <c r="AH30" i="2" s="1"/>
  <c r="AH31" i="2" s="1"/>
  <c r="AH32" i="2" s="1"/>
  <c r="AH33" i="2" s="1"/>
  <c r="AH34" i="2" s="1"/>
  <c r="AH35" i="2" s="1"/>
  <c r="AH36" i="2" s="1"/>
  <c r="AH37" i="2" s="1"/>
  <c r="AH38" i="2" s="1"/>
  <c r="AH39" i="2" s="1"/>
  <c r="AH40" i="2" s="1"/>
  <c r="AH41" i="2" s="1"/>
  <c r="AH42" i="2" s="1"/>
  <c r="AH43" i="2" s="1"/>
  <c r="AH44" i="2" s="1"/>
  <c r="AH45" i="2" s="1"/>
  <c r="AH46" i="2" s="1"/>
  <c r="AH47" i="2" s="1"/>
  <c r="AH48" i="2" s="1"/>
  <c r="AH49" i="2" s="1"/>
  <c r="AH50" i="2" s="1"/>
  <c r="AH51" i="2" s="1"/>
  <c r="AH52" i="2" s="1"/>
  <c r="AH53" i="2" s="1"/>
  <c r="B10" i="2"/>
  <c r="AB5" i="2" s="1"/>
  <c r="B11" i="2"/>
  <c r="AB6" i="2" s="1"/>
  <c r="B15" i="2"/>
  <c r="C17" i="2"/>
  <c r="J17" i="2" s="1"/>
  <c r="E17" i="2"/>
  <c r="L17" i="2" s="1"/>
  <c r="N17" i="2"/>
  <c r="B18" i="2"/>
  <c r="I18" i="2" s="1"/>
  <c r="B20" i="2"/>
  <c r="I20" i="2" s="1"/>
  <c r="U21" i="2"/>
  <c r="V21" i="2"/>
  <c r="I22" i="2"/>
  <c r="B26" i="2"/>
  <c r="I26" i="2"/>
  <c r="B27" i="2"/>
  <c r="I27" i="2"/>
  <c r="L35" i="2"/>
  <c r="AL4" i="10"/>
  <c r="AL5" i="10"/>
  <c r="N20" i="2" l="1"/>
  <c r="V15" i="2"/>
  <c r="Z15" i="2" s="1"/>
  <c r="V4" i="2"/>
  <c r="N18" i="2"/>
  <c r="V14" i="2"/>
  <c r="Z14" i="2" s="1"/>
  <c r="AD3" i="2"/>
  <c r="AE3" i="2" s="1"/>
  <c r="AC6" i="2"/>
  <c r="AL6" i="6"/>
  <c r="AD6" i="6"/>
  <c r="AF6" i="6" s="1"/>
  <c r="AD5" i="2"/>
  <c r="AE5" i="2" s="1"/>
  <c r="AD3" i="6"/>
  <c r="AF3" i="6" s="1"/>
  <c r="AD4" i="6"/>
  <c r="AF4" i="6" s="1"/>
  <c r="AD5" i="6"/>
  <c r="AF5" i="6" s="1"/>
  <c r="AJ5" i="6" l="1"/>
  <c r="AJ6" i="6"/>
  <c r="AJ4" i="6"/>
  <c r="AJ3" i="6"/>
  <c r="AF5" i="2"/>
  <c r="AL7" i="6"/>
  <c r="AL8" i="6" s="1"/>
  <c r="AL9" i="6" s="1"/>
  <c r="AL10" i="6" s="1"/>
  <c r="AL11" i="6" s="1"/>
  <c r="AL12" i="6" s="1"/>
  <c r="AL13" i="6" s="1"/>
  <c r="AL14" i="6" s="1"/>
  <c r="AL15" i="6" s="1"/>
  <c r="AL16" i="6" s="1"/>
  <c r="AL17" i="6" s="1"/>
  <c r="AL18" i="6" s="1"/>
  <c r="AL19" i="6" s="1"/>
  <c r="AL20" i="6" s="1"/>
  <c r="AL21" i="6" s="1"/>
  <c r="AL22" i="6" s="1"/>
  <c r="AL23" i="6" s="1"/>
  <c r="AL24" i="6" s="1"/>
  <c r="AL25" i="6" s="1"/>
  <c r="AL26" i="6" s="1"/>
  <c r="AL27" i="6" s="1"/>
  <c r="AL28" i="6" s="1"/>
  <c r="AL29" i="6" s="1"/>
  <c r="AL30" i="6" s="1"/>
  <c r="AL31" i="6" s="1"/>
  <c r="AL32" i="6" s="1"/>
  <c r="AL33" i="6" s="1"/>
  <c r="AL34" i="6" s="1"/>
  <c r="AL35" i="6" s="1"/>
  <c r="AL36" i="6" s="1"/>
  <c r="AL37" i="6" s="1"/>
  <c r="AL38" i="6" s="1"/>
  <c r="AL39" i="6" s="1"/>
  <c r="AL40" i="6" s="1"/>
  <c r="AL41" i="6" s="1"/>
  <c r="AL42" i="6" s="1"/>
  <c r="AL43" i="6" s="1"/>
  <c r="AL44" i="6" s="1"/>
  <c r="AL45" i="6" s="1"/>
  <c r="AL46" i="6" s="1"/>
  <c r="AL47" i="6" s="1"/>
  <c r="AL48" i="6" s="1"/>
  <c r="AL49" i="6" s="1"/>
  <c r="AL50" i="6" s="1"/>
  <c r="AL51" i="6" s="1"/>
  <c r="AL52" i="6" s="1"/>
  <c r="AL53" i="6" s="1"/>
  <c r="AD6" i="2"/>
  <c r="AE6" i="2" s="1"/>
  <c r="AM4" i="6" l="1" a="1"/>
  <c r="AM4" i="6" s="1"/>
  <c r="P20" i="2"/>
  <c r="P18" i="6"/>
  <c r="W22" i="6"/>
  <c r="V17" i="6" s="1"/>
  <c r="X22" i="6"/>
  <c r="P19" i="6"/>
  <c r="Z22" i="6"/>
  <c r="P21" i="6"/>
  <c r="Y22" i="6"/>
  <c r="Z17" i="6" s="1"/>
  <c r="P20" i="6"/>
  <c r="AF6" i="2"/>
  <c r="J7" i="2"/>
  <c r="AP4" i="6" a="1"/>
  <c r="AO4" i="6" a="1"/>
  <c r="AN4" i="6" a="1"/>
  <c r="AJ18" i="6" l="1"/>
  <c r="AJ20" i="6" s="1"/>
  <c r="AJ19" i="6"/>
  <c r="AJ21" i="6" s="1"/>
  <c r="AM38" i="6"/>
  <c r="AM12" i="6"/>
  <c r="AM27" i="6"/>
  <c r="AM43" i="6"/>
  <c r="AM42" i="6"/>
  <c r="AM50" i="6"/>
  <c r="AM47" i="6"/>
  <c r="AM20" i="6"/>
  <c r="AM5" i="6"/>
  <c r="AM46" i="6"/>
  <c r="AM10" i="6"/>
  <c r="AM53" i="6"/>
  <c r="AM16" i="6"/>
  <c r="AM15" i="6"/>
  <c r="AM18" i="6"/>
  <c r="AM25" i="6"/>
  <c r="AM52" i="6"/>
  <c r="AM26" i="6"/>
  <c r="AM35" i="6"/>
  <c r="AM54" i="6"/>
  <c r="AM19" i="6"/>
  <c r="AM33" i="6"/>
  <c r="AM17" i="6"/>
  <c r="AM24" i="6"/>
  <c r="AM37" i="6"/>
  <c r="AM28" i="6"/>
  <c r="AM36" i="6"/>
  <c r="AM13" i="6"/>
  <c r="AM8" i="6"/>
  <c r="AM6" i="6"/>
  <c r="AM23" i="6"/>
  <c r="AM41" i="6"/>
  <c r="AM31" i="6"/>
  <c r="AM22" i="6"/>
  <c r="AM40" i="6"/>
  <c r="AM45" i="6"/>
  <c r="AM21" i="6"/>
  <c r="AM48" i="6"/>
  <c r="AM30" i="6"/>
  <c r="AM7" i="6"/>
  <c r="AM29" i="6"/>
  <c r="AM34" i="6"/>
  <c r="AM49" i="6"/>
  <c r="AM14" i="6"/>
  <c r="AM39" i="6"/>
  <c r="AM9" i="6"/>
  <c r="AM51" i="6"/>
  <c r="AM32" i="6"/>
  <c r="AM11" i="6"/>
  <c r="AM44" i="6"/>
  <c r="O28" i="2"/>
  <c r="P21" i="2"/>
  <c r="Y22" i="2"/>
  <c r="AO4" i="6"/>
  <c r="AO53" i="6"/>
  <c r="AO49" i="6"/>
  <c r="AO45" i="6"/>
  <c r="AO41" i="6"/>
  <c r="AO37" i="6"/>
  <c r="AO25" i="6"/>
  <c r="AO16" i="6"/>
  <c r="AO10" i="6"/>
  <c r="AO31" i="6"/>
  <c r="AO7" i="6"/>
  <c r="AO5" i="6"/>
  <c r="AO27" i="6"/>
  <c r="AO19" i="6"/>
  <c r="AO11" i="6"/>
  <c r="AO50" i="6"/>
  <c r="AO44" i="6"/>
  <c r="AO39" i="6"/>
  <c r="AO15" i="6"/>
  <c r="AO30" i="6"/>
  <c r="AO9" i="6"/>
  <c r="AO13" i="6"/>
  <c r="AO54" i="6"/>
  <c r="AO48" i="6"/>
  <c r="AO43" i="6"/>
  <c r="AO38" i="6"/>
  <c r="AO24" i="6"/>
  <c r="AO34" i="6"/>
  <c r="AO29" i="6"/>
  <c r="AO8" i="6"/>
  <c r="AO20" i="6"/>
  <c r="AO52" i="6"/>
  <c r="AO47" i="6"/>
  <c r="AO42" i="6"/>
  <c r="AO36" i="6"/>
  <c r="AO23" i="6"/>
  <c r="AO33" i="6"/>
  <c r="AO18" i="6"/>
  <c r="AO51" i="6"/>
  <c r="AO46" i="6"/>
  <c r="AO40" i="6"/>
  <c r="AO35" i="6"/>
  <c r="AO22" i="6"/>
  <c r="AO32" i="6"/>
  <c r="AO21" i="6"/>
  <c r="AO26" i="6"/>
  <c r="AO14" i="6"/>
  <c r="AO6" i="6"/>
  <c r="AO28" i="6"/>
  <c r="AO17" i="6"/>
  <c r="AO12" i="6"/>
  <c r="AN5" i="6"/>
  <c r="AN18" i="6"/>
  <c r="AN43" i="6"/>
  <c r="AN47" i="6"/>
  <c r="AN51" i="6"/>
  <c r="AN8" i="6"/>
  <c r="AN30" i="6"/>
  <c r="AN33" i="6"/>
  <c r="AN41" i="6"/>
  <c r="AN46" i="6"/>
  <c r="AN52" i="6"/>
  <c r="AN19" i="6"/>
  <c r="AN20" i="6"/>
  <c r="AN9" i="6"/>
  <c r="AN11" i="6"/>
  <c r="AN31" i="6"/>
  <c r="AN42" i="6"/>
  <c r="AN48" i="6"/>
  <c r="AN53" i="6"/>
  <c r="AN12" i="6"/>
  <c r="AN17" i="6"/>
  <c r="AN21" i="6"/>
  <c r="AN27" i="6"/>
  <c r="AN29" i="6"/>
  <c r="AN34" i="6"/>
  <c r="AN44" i="6"/>
  <c r="AN49" i="6"/>
  <c r="AN54" i="6"/>
  <c r="AN28" i="6"/>
  <c r="AN32" i="6"/>
  <c r="AN45" i="6"/>
  <c r="AN50" i="6"/>
  <c r="AN7" i="6"/>
  <c r="AN39" i="6"/>
  <c r="AN35" i="6"/>
  <c r="AN23" i="6"/>
  <c r="AN15" i="6"/>
  <c r="AN4" i="6"/>
  <c r="AN6" i="6"/>
  <c r="AN36" i="6"/>
  <c r="AN25" i="6"/>
  <c r="AN26" i="6"/>
  <c r="AN40" i="6"/>
  <c r="AN24" i="6"/>
  <c r="AN14" i="6"/>
  <c r="AN38" i="6"/>
  <c r="AN22" i="6"/>
  <c r="AN13" i="6"/>
  <c r="AN37" i="6"/>
  <c r="AN16" i="6"/>
  <c r="AN10" i="6"/>
  <c r="AP10" i="6"/>
  <c r="AP8" i="6"/>
  <c r="AP30" i="6"/>
  <c r="AP32" i="6"/>
  <c r="AP34" i="6"/>
  <c r="AP7" i="6"/>
  <c r="AP21" i="6"/>
  <c r="AP33" i="6"/>
  <c r="AP31" i="6"/>
  <c r="AP29" i="6"/>
  <c r="AP9" i="6"/>
  <c r="AP20" i="6"/>
  <c r="AP12" i="6"/>
  <c r="AP51" i="6"/>
  <c r="AP47" i="6"/>
  <c r="AP43" i="6"/>
  <c r="AP39" i="6"/>
  <c r="AP35" i="6"/>
  <c r="AP23" i="6"/>
  <c r="AP15" i="6"/>
  <c r="AP14" i="6"/>
  <c r="AP4" i="6"/>
  <c r="AP18" i="6"/>
  <c r="AP53" i="6"/>
  <c r="AP48" i="6"/>
  <c r="AP42" i="6"/>
  <c r="AP37" i="6"/>
  <c r="AP16" i="6"/>
  <c r="AP13" i="6"/>
  <c r="AP28" i="6"/>
  <c r="AP17" i="6"/>
  <c r="AP11" i="6"/>
  <c r="AP52" i="6"/>
  <c r="AP46" i="6"/>
  <c r="AP41" i="6"/>
  <c r="AP36" i="6"/>
  <c r="AP25" i="6"/>
  <c r="AP6" i="6"/>
  <c r="AP27" i="6"/>
  <c r="AP50" i="6"/>
  <c r="AP45" i="6"/>
  <c r="AP40" i="6"/>
  <c r="AP24" i="6"/>
  <c r="AP26" i="6"/>
  <c r="AP5" i="6"/>
  <c r="AP19" i="6"/>
  <c r="AP54" i="6"/>
  <c r="AP49" i="6"/>
  <c r="AP44" i="6"/>
  <c r="AP38" i="6"/>
  <c r="AP22" i="6"/>
  <c r="AJ24" i="6" l="1"/>
  <c r="AJ23" i="6"/>
  <c r="Z22" i="2"/>
  <c r="AL4" i="2" s="1" a="1"/>
  <c r="AL46" i="2" s="1"/>
  <c r="AJ12" i="6"/>
  <c r="AK4" i="2" a="1"/>
  <c r="AK25" i="2" s="1"/>
  <c r="P28" i="2"/>
  <c r="AJ11" i="6"/>
  <c r="Z17" i="2"/>
  <c r="AJ14" i="6" l="1"/>
  <c r="AJ16" i="6"/>
  <c r="AJ13" i="6"/>
  <c r="AJ15" i="6"/>
  <c r="AL20" i="2"/>
  <c r="AL16" i="2"/>
  <c r="AL52" i="2"/>
  <c r="AL14" i="2"/>
  <c r="AL19" i="2"/>
  <c r="AL37" i="2"/>
  <c r="AL17" i="2"/>
  <c r="AL41" i="2"/>
  <c r="AL28" i="2"/>
  <c r="AL53" i="2"/>
  <c r="AL11" i="2"/>
  <c r="AL30" i="2"/>
  <c r="AL31" i="2"/>
  <c r="AL5" i="2"/>
  <c r="AL9" i="2"/>
  <c r="AL49" i="2"/>
  <c r="AL48" i="2"/>
  <c r="AL23" i="2"/>
  <c r="AL10" i="2"/>
  <c r="AL35" i="2"/>
  <c r="AL24" i="2"/>
  <c r="AL36" i="2"/>
  <c r="AL50" i="2"/>
  <c r="AL18" i="2"/>
  <c r="AL29" i="2"/>
  <c r="AL40" i="2"/>
  <c r="AL51" i="2"/>
  <c r="AL44" i="2"/>
  <c r="AL45" i="2"/>
  <c r="AL42" i="2"/>
  <c r="AL26" i="2"/>
  <c r="AL43" i="2"/>
  <c r="AL27" i="2"/>
  <c r="AL4" i="2"/>
  <c r="AL34" i="2"/>
  <c r="AL38" i="2"/>
  <c r="AL47" i="2"/>
  <c r="AL21" i="2"/>
  <c r="AL39" i="2"/>
  <c r="AL13" i="2"/>
  <c r="AL32" i="2"/>
  <c r="AL54" i="2"/>
  <c r="AL12" i="2"/>
  <c r="AL15" i="2"/>
  <c r="AL8" i="2"/>
  <c r="AL22" i="2"/>
  <c r="AL25" i="2"/>
  <c r="AL33" i="2"/>
  <c r="AL7" i="2"/>
  <c r="AL6" i="2"/>
  <c r="AK13" i="2"/>
  <c r="AK17" i="2"/>
  <c r="AK14" i="2"/>
  <c r="AK22" i="2"/>
  <c r="AK50" i="2"/>
  <c r="AK6" i="2"/>
  <c r="AK42" i="2"/>
  <c r="AK19" i="2"/>
  <c r="AK29" i="2"/>
  <c r="AK32" i="2"/>
  <c r="AK45" i="2"/>
  <c r="AK37" i="2"/>
  <c r="AK16" i="2"/>
  <c r="AK30" i="2"/>
  <c r="AK49" i="2"/>
  <c r="AK36" i="2"/>
  <c r="AK21" i="2"/>
  <c r="AK7" i="2"/>
  <c r="AK27" i="2"/>
  <c r="AK28" i="2"/>
  <c r="AK48" i="2"/>
  <c r="AK15" i="2"/>
  <c r="AK53" i="2"/>
  <c r="AK24" i="2"/>
  <c r="AK47" i="2"/>
  <c r="AK39" i="2"/>
  <c r="AK31" i="2"/>
  <c r="AK38" i="2"/>
  <c r="AK43" i="2"/>
  <c r="AK44" i="2"/>
  <c r="AK8" i="2"/>
  <c r="AK11" i="2"/>
  <c r="AK35" i="2"/>
  <c r="AK51" i="2"/>
  <c r="AK20" i="2"/>
  <c r="AK54" i="2"/>
  <c r="AK26" i="2"/>
  <c r="AK41" i="2"/>
  <c r="AK33" i="2"/>
  <c r="AK52" i="2"/>
  <c r="AK34" i="2"/>
  <c r="AK18" i="2"/>
  <c r="AK46" i="2"/>
  <c r="AK5" i="2"/>
  <c r="AK10" i="2"/>
  <c r="AK4" i="2"/>
  <c r="AK12" i="2"/>
  <c r="AK40" i="2"/>
  <c r="AK9" i="2"/>
  <c r="AK23" i="2"/>
  <c r="V7" i="6"/>
  <c r="J18" i="6" l="1"/>
  <c r="AL55" i="2"/>
  <c r="AP35" i="2" s="1"/>
  <c r="L18" i="6"/>
  <c r="AK55" i="2"/>
  <c r="AO51" i="2" s="1"/>
  <c r="N18" i="6" l="1"/>
  <c r="J20" i="6"/>
  <c r="AP38" i="2"/>
  <c r="AP31" i="2"/>
  <c r="AP34" i="2"/>
  <c r="AP51" i="2"/>
  <c r="AP20" i="2"/>
  <c r="AP4" i="2"/>
  <c r="AP53" i="2"/>
  <c r="AP24" i="2"/>
  <c r="AP36" i="2"/>
  <c r="AP11" i="2"/>
  <c r="AP8" i="2"/>
  <c r="AP48" i="2"/>
  <c r="AP47" i="2"/>
  <c r="AP21" i="2"/>
  <c r="AP39" i="2"/>
  <c r="AP13" i="2"/>
  <c r="AP22" i="2"/>
  <c r="AP25" i="2"/>
  <c r="AP33" i="2"/>
  <c r="AP7" i="2"/>
  <c r="AP50" i="2"/>
  <c r="AP6" i="2"/>
  <c r="AP30" i="2"/>
  <c r="AP46" i="2"/>
  <c r="AP45" i="2"/>
  <c r="AP19" i="2"/>
  <c r="AP42" i="2"/>
  <c r="AP17" i="2"/>
  <c r="AP49" i="2"/>
  <c r="AP9" i="2"/>
  <c r="AP43" i="2"/>
  <c r="AP16" i="2"/>
  <c r="AP27" i="2"/>
  <c r="AP32" i="2"/>
  <c r="AP41" i="2"/>
  <c r="AP12" i="2"/>
  <c r="AP54" i="2"/>
  <c r="AP29" i="2"/>
  <c r="AP37" i="2"/>
  <c r="AP26" i="2"/>
  <c r="AP18" i="2"/>
  <c r="AP5" i="2"/>
  <c r="AP15" i="2"/>
  <c r="AP40" i="2"/>
  <c r="AP14" i="2"/>
  <c r="AP52" i="2"/>
  <c r="AP28" i="2"/>
  <c r="AP44" i="2"/>
  <c r="AP23" i="2"/>
  <c r="AP10" i="2"/>
  <c r="AO9" i="2"/>
  <c r="AO44" i="2"/>
  <c r="AO36" i="2"/>
  <c r="AO8" i="2"/>
  <c r="AO16" i="2"/>
  <c r="AO30" i="2"/>
  <c r="AO37" i="2"/>
  <c r="AO41" i="2"/>
  <c r="AO32" i="2"/>
  <c r="AO54" i="2"/>
  <c r="AO12" i="2"/>
  <c r="AO35" i="2"/>
  <c r="AO4" i="2"/>
  <c r="AO21" i="2"/>
  <c r="AO40" i="2"/>
  <c r="AO48" i="2"/>
  <c r="AO7" i="2"/>
  <c r="AO5" i="2"/>
  <c r="AO45" i="2"/>
  <c r="AO23" i="2"/>
  <c r="AO6" i="2"/>
  <c r="AO46" i="2"/>
  <c r="AO26" i="2"/>
  <c r="AO33" i="2"/>
  <c r="AO38" i="2"/>
  <c r="AO13" i="2"/>
  <c r="AO53" i="2"/>
  <c r="AO31" i="2"/>
  <c r="AO49" i="2"/>
  <c r="AO24" i="2"/>
  <c r="AO20" i="2"/>
  <c r="AO42" i="2"/>
  <c r="AO14" i="2"/>
  <c r="AO25" i="2"/>
  <c r="AO18" i="2"/>
  <c r="AO15" i="2"/>
  <c r="AO47" i="2"/>
  <c r="AO11" i="2"/>
  <c r="AO50" i="2"/>
  <c r="AO22" i="2"/>
  <c r="AO34" i="2"/>
  <c r="AO17" i="2"/>
  <c r="AO52" i="2"/>
  <c r="AO43" i="2"/>
  <c r="AO19" i="2"/>
  <c r="AO39" i="2"/>
  <c r="AO10" i="2"/>
  <c r="AO28" i="2"/>
  <c r="AO29" i="2"/>
  <c r="AO27" i="2"/>
  <c r="J22" i="6" l="1"/>
  <c r="AJ9" i="6" s="1"/>
  <c r="E26" i="6"/>
  <c r="C31" i="6" s="1"/>
  <c r="E27" i="6" l="1"/>
  <c r="K31" i="6" s="1"/>
  <c r="AF3" i="2" l="1"/>
  <c r="AF4" i="2"/>
  <c r="AF19" i="2" l="1"/>
  <c r="AF18" i="2"/>
  <c r="AF20" i="2"/>
  <c r="AF21" i="2"/>
  <c r="P18" i="2"/>
  <c r="P19" i="2" s="1"/>
  <c r="AF23" i="2" l="1"/>
  <c r="AF24" i="2"/>
  <c r="AF12" i="2"/>
  <c r="AF11" i="2"/>
  <c r="V7" i="2"/>
  <c r="M28" i="2"/>
  <c r="W22" i="2"/>
  <c r="AF14" i="2" l="1"/>
  <c r="AF16" i="2"/>
  <c r="AF13" i="2"/>
  <c r="AG3" i="2" s="1"/>
  <c r="AF15" i="2"/>
  <c r="AG4" i="2" s="1"/>
  <c r="AI4" i="2" a="1"/>
  <c r="AI22" i="2" s="1"/>
  <c r="N28" i="2"/>
  <c r="X22" i="2"/>
  <c r="AJ4" i="2" s="1" a="1"/>
  <c r="J20" i="2" l="1"/>
  <c r="AF10" i="2" s="1"/>
  <c r="J18" i="2"/>
  <c r="AF9" i="2" s="1"/>
  <c r="V17" i="2"/>
  <c r="AI34" i="2"/>
  <c r="AI9" i="2"/>
  <c r="AI39" i="2"/>
  <c r="AI43" i="2"/>
  <c r="AI20" i="2"/>
  <c r="AI30" i="2"/>
  <c r="AI51" i="2"/>
  <c r="AI49" i="2"/>
  <c r="AI17" i="2"/>
  <c r="AI4" i="2"/>
  <c r="AI19" i="2"/>
  <c r="AI42" i="2"/>
  <c r="AI24" i="2"/>
  <c r="AI15" i="2"/>
  <c r="AI50" i="2"/>
  <c r="AI40" i="2"/>
  <c r="AI23" i="2"/>
  <c r="AI31" i="2"/>
  <c r="AI47" i="2"/>
  <c r="AI27" i="2"/>
  <c r="AI41" i="2"/>
  <c r="AI7" i="2"/>
  <c r="AI12" i="2"/>
  <c r="AI29" i="2"/>
  <c r="AI14" i="2"/>
  <c r="AI28" i="2"/>
  <c r="AI46" i="2"/>
  <c r="AI45" i="2"/>
  <c r="AI33" i="2"/>
  <c r="AI6" i="2"/>
  <c r="AI53" i="2"/>
  <c r="AI35" i="2"/>
  <c r="AI26" i="2"/>
  <c r="AI36" i="2"/>
  <c r="AI54" i="2"/>
  <c r="AI16" i="2"/>
  <c r="AI5" i="2"/>
  <c r="AI48" i="2"/>
  <c r="AI11" i="2"/>
  <c r="AI52" i="2"/>
  <c r="AI10" i="2"/>
  <c r="AI44" i="2"/>
  <c r="AI32" i="2"/>
  <c r="AI21" i="2"/>
  <c r="AI25" i="2"/>
  <c r="AI37" i="2"/>
  <c r="AI38" i="2"/>
  <c r="AI8" i="2"/>
  <c r="AI18" i="2"/>
  <c r="AI13" i="2"/>
  <c r="AJ10" i="2"/>
  <c r="AJ45" i="2"/>
  <c r="AJ4" i="2"/>
  <c r="AJ44" i="2"/>
  <c r="AJ49" i="2"/>
  <c r="AJ31" i="2"/>
  <c r="AJ50" i="2"/>
  <c r="AJ6" i="2"/>
  <c r="AJ27" i="2"/>
  <c r="AJ36" i="2"/>
  <c r="AJ37" i="2"/>
  <c r="AJ20" i="2"/>
  <c r="AJ9" i="2"/>
  <c r="AJ13" i="2"/>
  <c r="AJ33" i="2"/>
  <c r="AJ41" i="2"/>
  <c r="AJ30" i="2"/>
  <c r="AJ14" i="2"/>
  <c r="AJ54" i="2"/>
  <c r="AJ29" i="2"/>
  <c r="AJ28" i="2"/>
  <c r="AJ53" i="2"/>
  <c r="AJ32" i="2"/>
  <c r="AJ25" i="2"/>
  <c r="AJ23" i="2"/>
  <c r="AJ5" i="2"/>
  <c r="AJ21" i="2"/>
  <c r="AJ35" i="2"/>
  <c r="AJ38" i="2"/>
  <c r="AJ22" i="2"/>
  <c r="AJ26" i="2"/>
  <c r="AJ7" i="2"/>
  <c r="AJ19" i="2"/>
  <c r="AJ11" i="2"/>
  <c r="AJ40" i="2"/>
  <c r="AJ15" i="2"/>
  <c r="AJ42" i="2"/>
  <c r="AJ39" i="2"/>
  <c r="AJ17" i="2"/>
  <c r="AJ52" i="2"/>
  <c r="AJ18" i="2"/>
  <c r="AJ48" i="2"/>
  <c r="AJ46" i="2"/>
  <c r="AJ43" i="2"/>
  <c r="AJ51" i="2"/>
  <c r="AJ34" i="2"/>
  <c r="AJ12" i="2"/>
  <c r="AJ16" i="2"/>
  <c r="AJ47" i="2"/>
  <c r="AJ24" i="2"/>
  <c r="AJ8" i="2"/>
  <c r="L18" i="2" l="1"/>
  <c r="J34" i="2" s="1"/>
  <c r="I34" i="2"/>
  <c r="L20" i="2"/>
  <c r="J22" i="2"/>
  <c r="AI55" i="2"/>
  <c r="AM16" i="2" s="1"/>
  <c r="K34" i="2"/>
  <c r="AJ55" i="2"/>
  <c r="AN20" i="2" s="1"/>
  <c r="Z5" i="2" l="1"/>
  <c r="Z3" i="2"/>
  <c r="S22" i="2"/>
  <c r="L34" i="2"/>
  <c r="M34" i="2" s="1"/>
  <c r="T22" i="2"/>
  <c r="L22" i="2"/>
  <c r="N26" i="2" s="1"/>
  <c r="AM6" i="2"/>
  <c r="AM34" i="2"/>
  <c r="AM4" i="2"/>
  <c r="AM40" i="2"/>
  <c r="AM52" i="2"/>
  <c r="AM10" i="2"/>
  <c r="AM29" i="2"/>
  <c r="AM41" i="2"/>
  <c r="AM33" i="2"/>
  <c r="AM46" i="2"/>
  <c r="AM5" i="2"/>
  <c r="AM23" i="2"/>
  <c r="AM24" i="2"/>
  <c r="AM7" i="2"/>
  <c r="AM20" i="2"/>
  <c r="AM43" i="2"/>
  <c r="AM36" i="2"/>
  <c r="AM17" i="2"/>
  <c r="AM21" i="2"/>
  <c r="AM27" i="2"/>
  <c r="AM49" i="2"/>
  <c r="AM18" i="2"/>
  <c r="AM28" i="2"/>
  <c r="AM9" i="2"/>
  <c r="AM31" i="2"/>
  <c r="AM8" i="2"/>
  <c r="AM42" i="2"/>
  <c r="AM38" i="2"/>
  <c r="AM50" i="2"/>
  <c r="AM14" i="2"/>
  <c r="AM39" i="2"/>
  <c r="AM51" i="2"/>
  <c r="AM45" i="2"/>
  <c r="AM32" i="2"/>
  <c r="AM19" i="2"/>
  <c r="AM53" i="2"/>
  <c r="AM37" i="2"/>
  <c r="AM25" i="2"/>
  <c r="AM47" i="2"/>
  <c r="AM11" i="2"/>
  <c r="AM13" i="2"/>
  <c r="AM15" i="2"/>
  <c r="AM44" i="2"/>
  <c r="AM30" i="2"/>
  <c r="AM48" i="2"/>
  <c r="AM26" i="2"/>
  <c r="AM35" i="2"/>
  <c r="AM22" i="2"/>
  <c r="AM12" i="2"/>
  <c r="AM54" i="2"/>
  <c r="AN7" i="2"/>
  <c r="AN25" i="2"/>
  <c r="AN8" i="2"/>
  <c r="AN42" i="2"/>
  <c r="AN39" i="2"/>
  <c r="AN49" i="2"/>
  <c r="AN47" i="2"/>
  <c r="AN44" i="2"/>
  <c r="AN52" i="2"/>
  <c r="AN33" i="2"/>
  <c r="AN30" i="2"/>
  <c r="AN31" i="2"/>
  <c r="AN41" i="2"/>
  <c r="AN16" i="2"/>
  <c r="AN26" i="2"/>
  <c r="AN38" i="2"/>
  <c r="AN14" i="2"/>
  <c r="N27" i="2"/>
  <c r="P16" i="2"/>
  <c r="AN5" i="2"/>
  <c r="AN24" i="2"/>
  <c r="AN21" i="2"/>
  <c r="AN29" i="2"/>
  <c r="AN15" i="2"/>
  <c r="AN32" i="2"/>
  <c r="AN10" i="2"/>
  <c r="AN28" i="2"/>
  <c r="AN51" i="2"/>
  <c r="AN36" i="2"/>
  <c r="AN11" i="2"/>
  <c r="AN4" i="2"/>
  <c r="AN6" i="2"/>
  <c r="AN35" i="2"/>
  <c r="AN43" i="2"/>
  <c r="AN50" i="2"/>
  <c r="AN17" i="2"/>
  <c r="AN9" i="2"/>
  <c r="AN19" i="2"/>
  <c r="AN45" i="2"/>
  <c r="AN53" i="2"/>
  <c r="AN48" i="2"/>
  <c r="AN54" i="2"/>
  <c r="AN40" i="2"/>
  <c r="AN12" i="2"/>
  <c r="AN27" i="2"/>
  <c r="AN23" i="2"/>
  <c r="AN18" i="2"/>
  <c r="AN13" i="2"/>
  <c r="AN22" i="2"/>
  <c r="AN34" i="2"/>
  <c r="AN37" i="2"/>
  <c r="AN46" i="2"/>
  <c r="Z6" i="2" l="1"/>
  <c r="V5" i="2"/>
  <c r="V3" i="2"/>
  <c r="V6" i="2" l="1"/>
  <c r="U22" i="2" s="1"/>
  <c r="V22" i="2"/>
  <c r="E26" i="2"/>
  <c r="C31" i="2" s="1"/>
  <c r="E27" i="2"/>
  <c r="K31" i="2" s="1"/>
  <c r="L20" i="6" l="1"/>
  <c r="N20" i="6" s="1"/>
  <c r="Z5" i="6" l="1"/>
  <c r="L22" i="6"/>
  <c r="AJ10" i="6" s="1"/>
  <c r="T22" i="6"/>
  <c r="Z3" i="6"/>
  <c r="P16" i="6"/>
  <c r="M27" i="6"/>
  <c r="S22" i="6"/>
  <c r="C32" i="6" s="1"/>
  <c r="Z6" i="6" l="1"/>
  <c r="V22" i="6" s="1"/>
  <c r="V3" i="6"/>
  <c r="V5" i="6"/>
  <c r="M26" i="6"/>
  <c r="V6" i="6" l="1"/>
  <c r="U22"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Matt Work</author>
  </authors>
  <commentList>
    <comment ref="AC1" authorId="0" shapeId="0" xr:uid="{00000000-0006-0000-0100-000001000000}">
      <text>
        <r>
          <rPr>
            <b/>
            <sz val="8"/>
            <color indexed="81"/>
            <rFont val="Tahoma"/>
            <family val="2"/>
          </rPr>
          <t>This is where the bias parameters for a single simulation are sampled</t>
        </r>
        <r>
          <rPr>
            <sz val="8"/>
            <color indexed="81"/>
            <rFont val="Tahoma"/>
            <family val="2"/>
          </rPr>
          <t xml:space="preserve">
</t>
        </r>
      </text>
    </comment>
    <comment ref="AH2" authorId="0" shapeId="0" xr:uid="{00000000-0006-0000-0100-000002000000}">
      <text>
        <r>
          <rPr>
            <b/>
            <sz val="8"/>
            <color indexed="81"/>
            <rFont val="Tahoma"/>
            <family val="2"/>
          </rPr>
          <t>This is where data for the graphs of the bias parameters is created</t>
        </r>
        <r>
          <rPr>
            <sz val="8"/>
            <color indexed="81"/>
            <rFont val="Tahoma"/>
            <family val="2"/>
          </rPr>
          <t xml:space="preserve">
</t>
        </r>
      </text>
    </comment>
    <comment ref="J6" authorId="0" shapeId="0" xr:uid="{00000000-0006-0000-0100-000003000000}">
      <text>
        <r>
          <rPr>
            <b/>
            <sz val="8"/>
            <color indexed="81"/>
            <rFont val="Tahoma"/>
            <family val="2"/>
          </rPr>
          <t>Checks if the values entered for the bias parameters are logical (i.e min &lt; mod1&lt; mod2&lt;max)</t>
        </r>
        <r>
          <rPr>
            <sz val="8"/>
            <color indexed="81"/>
            <rFont val="Tahoma"/>
            <family val="2"/>
          </rPr>
          <t xml:space="preserve">
</t>
        </r>
      </text>
    </comment>
    <comment ref="C7" authorId="0" shapeId="0" xr:uid="{00000000-0006-0000-0100-000004000000}">
      <text>
        <r>
          <rPr>
            <b/>
            <sz val="8"/>
            <color indexed="81"/>
            <rFont val="Tahoma"/>
            <family val="2"/>
          </rPr>
          <t>Minimum value for distribution</t>
        </r>
      </text>
    </comment>
    <comment ref="E7" authorId="0" shapeId="0" xr:uid="{00000000-0006-0000-0100-000005000000}">
      <text>
        <r>
          <rPr>
            <b/>
            <sz val="8"/>
            <color indexed="81"/>
            <rFont val="Tahoma"/>
            <family val="2"/>
          </rPr>
          <t>Lower mode value for distribution</t>
        </r>
        <r>
          <rPr>
            <sz val="8"/>
            <color indexed="81"/>
            <rFont val="Tahoma"/>
            <family val="2"/>
          </rPr>
          <t xml:space="preserve">
</t>
        </r>
      </text>
    </comment>
    <comment ref="G7" authorId="0" shapeId="0" xr:uid="{00000000-0006-0000-0100-000006000000}">
      <text>
        <r>
          <rPr>
            <b/>
            <sz val="8"/>
            <color indexed="81"/>
            <rFont val="Tahoma"/>
            <family val="2"/>
          </rPr>
          <t>Upper mode value for distribution</t>
        </r>
        <r>
          <rPr>
            <sz val="8"/>
            <color indexed="81"/>
            <rFont val="Tahoma"/>
            <family val="2"/>
          </rPr>
          <t xml:space="preserve">
</t>
        </r>
      </text>
    </comment>
    <comment ref="I7" authorId="0" shapeId="0" xr:uid="{00000000-0006-0000-0100-000007000000}">
      <text>
        <r>
          <rPr>
            <b/>
            <sz val="8"/>
            <color rgb="FF000000"/>
            <rFont val="Tahoma"/>
            <family val="2"/>
          </rPr>
          <t>Maximum value for distribution</t>
        </r>
        <r>
          <rPr>
            <sz val="8"/>
            <color rgb="FF000000"/>
            <rFont val="Tahoma"/>
            <family val="2"/>
          </rPr>
          <t xml:space="preserve">
</t>
        </r>
      </text>
    </comment>
    <comment ref="B8" authorId="0" shapeId="0" xr:uid="{00000000-0006-0000-0100-000008000000}">
      <text>
        <r>
          <rPr>
            <b/>
            <sz val="8"/>
            <color indexed="81"/>
            <rFont val="Tahoma"/>
            <family val="2"/>
          </rPr>
          <t>Sensitivity of exposure classification among those with the outcome</t>
        </r>
        <r>
          <rPr>
            <sz val="8"/>
            <color indexed="81"/>
            <rFont val="Tahoma"/>
            <family val="2"/>
          </rPr>
          <t xml:space="preserve">
</t>
        </r>
      </text>
    </comment>
    <comment ref="B9" authorId="0" shapeId="0" xr:uid="{00000000-0006-0000-0100-000009000000}">
      <text>
        <r>
          <rPr>
            <b/>
            <sz val="8"/>
            <color indexed="81"/>
            <rFont val="Tahoma"/>
            <family val="2"/>
          </rPr>
          <t>Sensitivity of exposure classification among those without the outcome</t>
        </r>
        <r>
          <rPr>
            <sz val="8"/>
            <color indexed="81"/>
            <rFont val="Tahoma"/>
            <family val="2"/>
          </rPr>
          <t xml:space="preserve">
</t>
        </r>
      </text>
    </comment>
    <comment ref="B10" authorId="0" shapeId="0" xr:uid="{00000000-0006-0000-0100-00000A000000}">
      <text>
        <r>
          <rPr>
            <b/>
            <sz val="8"/>
            <color indexed="81"/>
            <rFont val="Tahoma"/>
            <family val="2"/>
          </rPr>
          <t>Specificity of exposure classification among those with the outcome</t>
        </r>
        <r>
          <rPr>
            <sz val="8"/>
            <color indexed="81"/>
            <rFont val="Tahoma"/>
            <family val="2"/>
          </rPr>
          <t xml:space="preserve">
</t>
        </r>
      </text>
    </comment>
    <comment ref="B11" authorId="0" shapeId="0" xr:uid="{00000000-0006-0000-0100-00000B000000}">
      <text>
        <r>
          <rPr>
            <b/>
            <sz val="8"/>
            <color rgb="FF000000"/>
            <rFont val="Tahoma"/>
            <family val="2"/>
          </rPr>
          <t>Specificity of exposure classification among those without the outcome</t>
        </r>
        <r>
          <rPr>
            <sz val="8"/>
            <color rgb="FF000000"/>
            <rFont val="Tahoma"/>
            <family val="2"/>
          </rPr>
          <t xml:space="preserve">
</t>
        </r>
      </text>
    </comment>
    <comment ref="B12" authorId="0" shapeId="0" xr:uid="{00000000-0006-0000-0100-00000C000000}">
      <text>
        <r>
          <rPr>
            <b/>
            <sz val="8"/>
            <color indexed="81"/>
            <rFont val="Tahoma"/>
            <family val="2"/>
          </rPr>
          <t>Choose ND for non-differential and D for differential</t>
        </r>
        <r>
          <rPr>
            <sz val="8"/>
            <color indexed="81"/>
            <rFont val="Tahoma"/>
            <family val="2"/>
          </rPr>
          <t xml:space="preserve">
</t>
        </r>
      </text>
    </comment>
    <comment ref="E12" authorId="0" shapeId="0" xr:uid="{00000000-0006-0000-0100-00000D000000}">
      <text>
        <r>
          <rPr>
            <b/>
            <sz val="8"/>
            <color rgb="FF000000"/>
            <rFont val="Tahoma"/>
            <family val="2"/>
          </rPr>
          <t>Is misclassification non-differential (ND) or differential (D)?</t>
        </r>
        <r>
          <rPr>
            <sz val="8"/>
            <color rgb="FF000000"/>
            <rFont val="Tahoma"/>
            <family val="2"/>
          </rPr>
          <t xml:space="preserve">
</t>
        </r>
      </text>
    </comment>
    <comment ref="I12" authorId="0" shapeId="0" xr:uid="{00000000-0006-0000-0100-00000E000000}">
      <text>
        <r>
          <rPr>
            <b/>
            <sz val="8"/>
            <color rgb="FF000000"/>
            <rFont val="Tahoma"/>
            <family val="2"/>
          </rPr>
          <t>Enter the number of simulations to run</t>
        </r>
        <r>
          <rPr>
            <sz val="8"/>
            <color rgb="FF000000"/>
            <rFont val="Tahoma"/>
            <family val="2"/>
          </rPr>
          <t xml:space="preserve">
</t>
        </r>
      </text>
    </comment>
    <comment ref="C14" authorId="0" shapeId="0" xr:uid="{00000000-0006-0000-0100-000010000000}">
      <text>
        <r>
          <rPr>
            <b/>
            <sz val="8"/>
            <color rgb="FF000000"/>
            <rFont val="Tahoma"/>
            <family val="2"/>
          </rPr>
          <t>What is the exposure?</t>
        </r>
        <r>
          <rPr>
            <sz val="8"/>
            <color rgb="FF000000"/>
            <rFont val="Tahoma"/>
            <family val="2"/>
          </rPr>
          <t xml:space="preserve">
</t>
        </r>
      </text>
    </comment>
    <comment ref="G14" authorId="0" shapeId="0" xr:uid="{00000000-0006-0000-0100-000011000000}">
      <text>
        <r>
          <rPr>
            <b/>
            <sz val="8"/>
            <color indexed="81"/>
            <rFont val="Tahoma"/>
            <family val="2"/>
          </rPr>
          <t xml:space="preserve">What is the outcome?
</t>
        </r>
      </text>
    </comment>
    <comment ref="I15" authorId="0" shapeId="0" xr:uid="{00000000-0006-0000-0100-000012000000}">
      <text>
        <r>
          <rPr>
            <b/>
            <sz val="8"/>
            <color rgb="FF000000"/>
            <rFont val="Tahoma"/>
            <family val="2"/>
          </rPr>
          <t>The green cells below shows a single correction for a given sensitivity and specificity.</t>
        </r>
      </text>
    </comment>
    <comment ref="S20" authorId="0" shapeId="0" xr:uid="{00000000-0006-0000-0100-000013000000}">
      <text>
        <r>
          <rPr>
            <b/>
            <sz val="8"/>
            <color rgb="FF000000"/>
            <rFont val="Tahoma"/>
            <family val="2"/>
          </rPr>
          <t>This is where the systematic error simulation data is stored</t>
        </r>
        <r>
          <rPr>
            <sz val="8"/>
            <color rgb="FF000000"/>
            <rFont val="Tahoma"/>
            <family val="2"/>
          </rPr>
          <t xml:space="preserve">
</t>
        </r>
      </text>
    </comment>
    <comment ref="U20" authorId="0" shapeId="0" xr:uid="{00000000-0006-0000-0100-000014000000}">
      <text>
        <r>
          <rPr>
            <b/>
            <sz val="8"/>
            <color rgb="FF000000"/>
            <rFont val="Tahoma"/>
            <family val="2"/>
          </rPr>
          <t>This is where the systematic and random error simulation data is stored</t>
        </r>
        <r>
          <rPr>
            <sz val="8"/>
            <color rgb="FF000000"/>
            <rFont val="Tahoma"/>
            <family val="2"/>
          </rPr>
          <t xml:space="preserve">
</t>
        </r>
      </text>
    </comment>
    <comment ref="W20" authorId="0" shapeId="0" xr:uid="{00000000-0006-0000-0100-000015000000}">
      <text>
        <r>
          <rPr>
            <b/>
            <sz val="8"/>
            <color rgb="FF000000"/>
            <rFont val="Tahoma"/>
            <family val="2"/>
          </rPr>
          <t>This is where the sampled bias parameters are stored</t>
        </r>
        <r>
          <rPr>
            <sz val="8"/>
            <color rgb="FF000000"/>
            <rFont val="Tahoma"/>
            <family val="2"/>
          </rPr>
          <t xml:space="preserve">
</t>
        </r>
      </text>
    </comment>
    <comment ref="P29" authorId="0" shapeId="0" xr:uid="{00000000-0006-0000-0100-000016000000}">
      <text>
        <r>
          <rPr>
            <sz val="12"/>
            <color rgb="FF000000"/>
            <rFont val="Arial"/>
            <family val="2"/>
          </rPr>
          <t>Number of simulations that were discarded because of negative cells or 0 cells.</t>
        </r>
      </text>
    </comment>
    <comment ref="B31" authorId="0" shapeId="0" xr:uid="{00000000-0006-0000-0100-000017000000}">
      <text>
        <r>
          <rPr>
            <b/>
            <sz val="8"/>
            <color indexed="81"/>
            <rFont val="Tahoma"/>
            <family val="2"/>
          </rPr>
          <t>Traditional 95% confidence interval including only random error</t>
        </r>
      </text>
    </comment>
    <comment ref="I31" authorId="0" shapeId="0" xr:uid="{00000000-0006-0000-0100-000018000000}">
      <text>
        <r>
          <rPr>
            <b/>
            <sz val="8"/>
            <color indexed="81"/>
            <rFont val="Tahoma"/>
            <family val="2"/>
          </rPr>
          <t>Traditional 95% confidence interval including only random error</t>
        </r>
      </text>
    </comment>
    <comment ref="B32" authorId="0" shapeId="0" xr:uid="{00000000-0006-0000-0100-000019000000}">
      <text>
        <r>
          <rPr>
            <b/>
            <sz val="8"/>
            <color indexed="81"/>
            <rFont val="Tahoma"/>
            <family val="2"/>
          </rPr>
          <t>Simulation interval including only systematic error</t>
        </r>
        <r>
          <rPr>
            <sz val="8"/>
            <color indexed="81"/>
            <rFont val="Tahoma"/>
            <family val="2"/>
          </rPr>
          <t xml:space="preserve">
</t>
        </r>
      </text>
    </comment>
    <comment ref="I32" authorId="0" shapeId="0" xr:uid="{00000000-0006-0000-0100-00001A000000}">
      <text>
        <r>
          <rPr>
            <b/>
            <sz val="8"/>
            <color rgb="FF000000"/>
            <rFont val="Tahoma"/>
            <family val="2"/>
          </rPr>
          <t>Simulation interval including only systematic error</t>
        </r>
        <r>
          <rPr>
            <sz val="8"/>
            <color rgb="FF000000"/>
            <rFont val="Tahoma"/>
            <family val="2"/>
          </rPr>
          <t xml:space="preserve">
</t>
        </r>
      </text>
    </comment>
    <comment ref="B33" authorId="0" shapeId="0" xr:uid="{00000000-0006-0000-0100-00001B000000}">
      <text>
        <r>
          <rPr>
            <b/>
            <sz val="8"/>
            <color indexed="81"/>
            <rFont val="Tahoma"/>
            <family val="2"/>
          </rPr>
          <t xml:space="preserve">Simulation interval including both systematic and random error
</t>
        </r>
        <r>
          <rPr>
            <sz val="8"/>
            <color indexed="81"/>
            <rFont val="Tahoma"/>
            <family val="2"/>
          </rPr>
          <t xml:space="preserve">
</t>
        </r>
      </text>
    </comment>
    <comment ref="I33" authorId="0" shapeId="0" xr:uid="{00000000-0006-0000-0100-00001C000000}">
      <text>
        <r>
          <rPr>
            <b/>
            <sz val="8"/>
            <color indexed="81"/>
            <rFont val="Tahoma"/>
            <family val="2"/>
          </rPr>
          <t xml:space="preserve">Simulation interval including both systematic and random error
</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Matt Work</author>
  </authors>
  <commentList>
    <comment ref="AC1" authorId="0" shapeId="0" xr:uid="{00000000-0006-0000-0300-000001000000}">
      <text>
        <r>
          <rPr>
            <b/>
            <sz val="8"/>
            <color indexed="81"/>
            <rFont val="Tahoma"/>
            <family val="2"/>
          </rPr>
          <t>This is where the bias parameters for a single simulation are sampled</t>
        </r>
        <r>
          <rPr>
            <sz val="8"/>
            <color indexed="81"/>
            <rFont val="Tahoma"/>
            <family val="2"/>
          </rPr>
          <t xml:space="preserve">
</t>
        </r>
      </text>
    </comment>
    <comment ref="AL2" authorId="0" shapeId="0" xr:uid="{00000000-0006-0000-0300-000002000000}">
      <text>
        <r>
          <rPr>
            <b/>
            <sz val="8"/>
            <color indexed="81"/>
            <rFont val="Tahoma"/>
            <family val="2"/>
          </rPr>
          <t>This is where data for the graphs of the bias parameters is created</t>
        </r>
        <r>
          <rPr>
            <sz val="8"/>
            <color indexed="81"/>
            <rFont val="Tahoma"/>
            <family val="2"/>
          </rPr>
          <t xml:space="preserve">
</t>
        </r>
      </text>
    </comment>
    <comment ref="J6" authorId="0" shapeId="0" xr:uid="{00000000-0006-0000-0300-000003000000}">
      <text>
        <r>
          <rPr>
            <b/>
            <sz val="8"/>
            <color indexed="81"/>
            <rFont val="Tahoma"/>
            <family val="2"/>
          </rPr>
          <t>Checks if the values entered for the bias parameters are logical (i.e min &lt; mod1&lt; mod2&lt;max)</t>
        </r>
        <r>
          <rPr>
            <sz val="8"/>
            <color indexed="81"/>
            <rFont val="Tahoma"/>
            <family val="2"/>
          </rPr>
          <t xml:space="preserve">
</t>
        </r>
      </text>
    </comment>
    <comment ref="C7" authorId="0" shapeId="0" xr:uid="{00000000-0006-0000-0300-000004000000}">
      <text>
        <r>
          <rPr>
            <b/>
            <sz val="8"/>
            <color indexed="81"/>
            <rFont val="Tahoma"/>
            <family val="2"/>
          </rPr>
          <t>Minimum value for distribution</t>
        </r>
      </text>
    </comment>
    <comment ref="E7" authorId="0" shapeId="0" xr:uid="{00000000-0006-0000-0300-000005000000}">
      <text>
        <r>
          <rPr>
            <b/>
            <sz val="8"/>
            <color indexed="81"/>
            <rFont val="Tahoma"/>
            <family val="2"/>
          </rPr>
          <t>Lower mode value for distribution</t>
        </r>
        <r>
          <rPr>
            <sz val="8"/>
            <color indexed="81"/>
            <rFont val="Tahoma"/>
            <family val="2"/>
          </rPr>
          <t xml:space="preserve">
</t>
        </r>
      </text>
    </comment>
    <comment ref="G7" authorId="0" shapeId="0" xr:uid="{00000000-0006-0000-0300-000006000000}">
      <text>
        <r>
          <rPr>
            <b/>
            <sz val="8"/>
            <color indexed="81"/>
            <rFont val="Tahoma"/>
            <family val="2"/>
          </rPr>
          <t>Upper mode value for distribution</t>
        </r>
        <r>
          <rPr>
            <sz val="8"/>
            <color indexed="81"/>
            <rFont val="Tahoma"/>
            <family val="2"/>
          </rPr>
          <t xml:space="preserve">
</t>
        </r>
      </text>
    </comment>
    <comment ref="I7" authorId="0" shapeId="0" xr:uid="{00000000-0006-0000-0300-000007000000}">
      <text>
        <r>
          <rPr>
            <b/>
            <sz val="8"/>
            <color indexed="81"/>
            <rFont val="Tahoma"/>
            <family val="2"/>
          </rPr>
          <t>Maximum value for distribution</t>
        </r>
        <r>
          <rPr>
            <sz val="8"/>
            <color indexed="81"/>
            <rFont val="Tahoma"/>
            <family val="2"/>
          </rPr>
          <t xml:space="preserve">
</t>
        </r>
      </text>
    </comment>
    <comment ref="B8" authorId="0" shapeId="0" xr:uid="{00000000-0006-0000-0300-000008000000}">
      <text>
        <r>
          <rPr>
            <b/>
            <sz val="8"/>
            <color indexed="81"/>
            <rFont val="Tahoma"/>
            <family val="2"/>
          </rPr>
          <t>Sensitivity of outcome classification among those with the exposure</t>
        </r>
        <r>
          <rPr>
            <sz val="8"/>
            <color indexed="81"/>
            <rFont val="Tahoma"/>
            <family val="2"/>
          </rPr>
          <t xml:space="preserve">
</t>
        </r>
      </text>
    </comment>
    <comment ref="B9" authorId="0" shapeId="0" xr:uid="{00000000-0006-0000-0300-000009000000}">
      <text>
        <r>
          <rPr>
            <b/>
            <sz val="8"/>
            <color indexed="81"/>
            <rFont val="Tahoma"/>
            <family val="2"/>
          </rPr>
          <t>Sensitivity of outcome classification among those without the exposure</t>
        </r>
        <r>
          <rPr>
            <sz val="8"/>
            <color indexed="81"/>
            <rFont val="Tahoma"/>
            <family val="2"/>
          </rPr>
          <t xml:space="preserve">
</t>
        </r>
      </text>
    </comment>
    <comment ref="B10" authorId="0" shapeId="0" xr:uid="{00000000-0006-0000-0300-00000A000000}">
      <text>
        <r>
          <rPr>
            <b/>
            <sz val="8"/>
            <color indexed="81"/>
            <rFont val="Tahoma"/>
            <family val="2"/>
          </rPr>
          <t>Specificity of outcome classification among those with the exposure</t>
        </r>
        <r>
          <rPr>
            <sz val="8"/>
            <color indexed="81"/>
            <rFont val="Tahoma"/>
            <family val="2"/>
          </rPr>
          <t xml:space="preserve">
</t>
        </r>
      </text>
    </comment>
    <comment ref="B11" authorId="0" shapeId="0" xr:uid="{00000000-0006-0000-0300-00000B000000}">
      <text>
        <r>
          <rPr>
            <b/>
            <sz val="8"/>
            <color indexed="81"/>
            <rFont val="Tahoma"/>
            <family val="2"/>
          </rPr>
          <t>Specificity of outcome classification among those without the exposure</t>
        </r>
        <r>
          <rPr>
            <sz val="8"/>
            <color indexed="81"/>
            <rFont val="Tahoma"/>
            <family val="2"/>
          </rPr>
          <t xml:space="preserve">
</t>
        </r>
      </text>
    </comment>
    <comment ref="B12" authorId="0" shapeId="0" xr:uid="{00000000-0006-0000-0300-00000C000000}">
      <text>
        <r>
          <rPr>
            <b/>
            <sz val="8"/>
            <color indexed="81"/>
            <rFont val="Tahoma"/>
            <family val="2"/>
          </rPr>
          <t>Choose ND for non-differential and D for differential</t>
        </r>
        <r>
          <rPr>
            <sz val="8"/>
            <color indexed="81"/>
            <rFont val="Tahoma"/>
            <family val="2"/>
          </rPr>
          <t xml:space="preserve">
</t>
        </r>
      </text>
    </comment>
    <comment ref="E12" authorId="0" shapeId="0" xr:uid="{00000000-0006-0000-0300-00000D000000}">
      <text>
        <r>
          <rPr>
            <b/>
            <sz val="8"/>
            <color rgb="FF000000"/>
            <rFont val="Tahoma"/>
            <family val="2"/>
          </rPr>
          <t>Is misclassification non-differential (ND) or differential (D)?</t>
        </r>
        <r>
          <rPr>
            <sz val="8"/>
            <color rgb="FF000000"/>
            <rFont val="Tahoma"/>
            <family val="2"/>
          </rPr>
          <t xml:space="preserve">
</t>
        </r>
      </text>
    </comment>
    <comment ref="G12" authorId="0" shapeId="0" xr:uid="{00000000-0006-0000-0300-00000E000000}">
      <text>
        <r>
          <rPr>
            <b/>
            <sz val="8"/>
            <color rgb="FF000000"/>
            <rFont val="Tahoma"/>
            <family val="2"/>
          </rPr>
          <t>Enter the number of simulations to run</t>
        </r>
        <r>
          <rPr>
            <sz val="8"/>
            <color rgb="FF000000"/>
            <rFont val="Tahoma"/>
            <family val="2"/>
          </rPr>
          <t xml:space="preserve">
</t>
        </r>
      </text>
    </comment>
    <comment ref="I12" authorId="0" shapeId="0" xr:uid="{00000000-0006-0000-0300-00000F000000}">
      <text>
        <r>
          <rPr>
            <b/>
            <sz val="8"/>
            <color rgb="FF000000"/>
            <rFont val="Tahoma"/>
            <family val="2"/>
          </rPr>
          <t>Enter the number of simulations to run</t>
        </r>
        <r>
          <rPr>
            <sz val="8"/>
            <color rgb="FF000000"/>
            <rFont val="Tahoma"/>
            <family val="2"/>
          </rPr>
          <t xml:space="preserve">
</t>
        </r>
      </text>
    </comment>
    <comment ref="C14" authorId="0" shapeId="0" xr:uid="{00000000-0006-0000-0300-000010000000}">
      <text>
        <r>
          <rPr>
            <b/>
            <sz val="8"/>
            <color indexed="81"/>
            <rFont val="Tahoma"/>
            <family val="2"/>
          </rPr>
          <t>What is the exposure?</t>
        </r>
        <r>
          <rPr>
            <sz val="8"/>
            <color indexed="81"/>
            <rFont val="Tahoma"/>
            <family val="2"/>
          </rPr>
          <t xml:space="preserve">
</t>
        </r>
      </text>
    </comment>
    <comment ref="G14" authorId="0" shapeId="0" xr:uid="{00000000-0006-0000-0300-000011000000}">
      <text>
        <r>
          <rPr>
            <b/>
            <sz val="8"/>
            <color rgb="FF000000"/>
            <rFont val="Tahoma"/>
            <family val="2"/>
          </rPr>
          <t xml:space="preserve">What is the outcome?
</t>
        </r>
      </text>
    </comment>
    <comment ref="I15" authorId="0" shapeId="0" xr:uid="{00000000-0006-0000-0300-000012000000}">
      <text>
        <r>
          <rPr>
            <b/>
            <sz val="8"/>
            <color indexed="8"/>
            <rFont val="Tahoma"/>
            <family val="2"/>
          </rPr>
          <t>The green cells below shows a single correction for a given sensitivity and specificity.</t>
        </r>
      </text>
    </comment>
    <comment ref="O17" authorId="0" shapeId="0" xr:uid="{00000000-0006-0000-0300-000013000000}">
      <text>
        <r>
          <rPr>
            <b/>
            <sz val="8"/>
            <color indexed="8"/>
            <rFont val="Tahoma"/>
            <family val="2"/>
          </rPr>
          <t>For the current simulation, these are the values that were chosen from the bias parameter distributions</t>
        </r>
        <r>
          <rPr>
            <sz val="8"/>
            <color indexed="8"/>
            <rFont val="Tahoma"/>
            <family val="2"/>
          </rPr>
          <t xml:space="preserve">
</t>
        </r>
      </text>
    </comment>
    <comment ref="S20" authorId="0" shapeId="0" xr:uid="{00000000-0006-0000-0300-000014000000}">
      <text>
        <r>
          <rPr>
            <b/>
            <sz val="8"/>
            <color indexed="81"/>
            <rFont val="Tahoma"/>
            <family val="2"/>
          </rPr>
          <t>This is where the systematic error simulation data is stored</t>
        </r>
        <r>
          <rPr>
            <sz val="8"/>
            <color indexed="81"/>
            <rFont val="Tahoma"/>
            <family val="2"/>
          </rPr>
          <t xml:space="preserve">
</t>
        </r>
      </text>
    </comment>
    <comment ref="U20" authorId="0" shapeId="0" xr:uid="{00000000-0006-0000-0300-000015000000}">
      <text>
        <r>
          <rPr>
            <b/>
            <sz val="8"/>
            <color indexed="81"/>
            <rFont val="Tahoma"/>
            <family val="2"/>
          </rPr>
          <t>This is where the systematic and random error simulation data is stored</t>
        </r>
        <r>
          <rPr>
            <sz val="8"/>
            <color indexed="81"/>
            <rFont val="Tahoma"/>
            <family val="2"/>
          </rPr>
          <t xml:space="preserve">
</t>
        </r>
      </text>
    </comment>
    <comment ref="W20" authorId="0" shapeId="0" xr:uid="{00000000-0006-0000-0300-000016000000}">
      <text>
        <r>
          <rPr>
            <b/>
            <sz val="8"/>
            <color indexed="81"/>
            <rFont val="Tahoma"/>
            <family val="2"/>
          </rPr>
          <t>This is where the sampled bias parameters are stored</t>
        </r>
        <r>
          <rPr>
            <sz val="8"/>
            <color indexed="81"/>
            <rFont val="Tahoma"/>
            <family val="2"/>
          </rPr>
          <t xml:space="preserve">
</t>
        </r>
      </text>
    </comment>
    <comment ref="P29" authorId="0" shapeId="0" xr:uid="{00000000-0006-0000-0300-000017000000}">
      <text>
        <r>
          <rPr>
            <sz val="12"/>
            <color rgb="FF000000"/>
            <rFont val="Arial"/>
            <family val="2"/>
          </rPr>
          <t>Number of simulations that were discarded because of negative cells or 0 cells.</t>
        </r>
      </text>
    </comment>
    <comment ref="B31" authorId="0" shapeId="0" xr:uid="{00000000-0006-0000-0300-000018000000}">
      <text>
        <r>
          <rPr>
            <b/>
            <sz val="8"/>
            <color indexed="81"/>
            <rFont val="Tahoma"/>
            <family val="2"/>
          </rPr>
          <t>Traditional 95% confidence interval including only random error</t>
        </r>
      </text>
    </comment>
    <comment ref="I31" authorId="0" shapeId="0" xr:uid="{00000000-0006-0000-0300-000019000000}">
      <text>
        <r>
          <rPr>
            <b/>
            <sz val="8"/>
            <color indexed="8"/>
            <rFont val="Tahoma"/>
            <family val="2"/>
          </rPr>
          <t>Traditional 95% confidence interval including only random error</t>
        </r>
      </text>
    </comment>
    <comment ref="B32" authorId="0" shapeId="0" xr:uid="{00000000-0006-0000-0300-00001A000000}">
      <text>
        <r>
          <rPr>
            <b/>
            <sz val="8"/>
            <color indexed="81"/>
            <rFont val="Tahoma"/>
            <family val="2"/>
          </rPr>
          <t>Simulation interval including only systematic error</t>
        </r>
        <r>
          <rPr>
            <sz val="8"/>
            <color indexed="81"/>
            <rFont val="Tahoma"/>
            <family val="2"/>
          </rPr>
          <t xml:space="preserve">
</t>
        </r>
      </text>
    </comment>
    <comment ref="I32" authorId="0" shapeId="0" xr:uid="{00000000-0006-0000-0300-00001B000000}">
      <text>
        <r>
          <rPr>
            <b/>
            <sz val="8"/>
            <color indexed="81"/>
            <rFont val="Tahoma"/>
            <family val="2"/>
          </rPr>
          <t>Simulation interval including only systematic error</t>
        </r>
        <r>
          <rPr>
            <sz val="8"/>
            <color indexed="81"/>
            <rFont val="Tahoma"/>
            <family val="2"/>
          </rPr>
          <t xml:space="preserve">
</t>
        </r>
      </text>
    </comment>
    <comment ref="B33" authorId="0" shapeId="0" xr:uid="{00000000-0006-0000-0300-00001C000000}">
      <text>
        <r>
          <rPr>
            <b/>
            <sz val="8"/>
            <color indexed="81"/>
            <rFont val="Tahoma"/>
            <family val="2"/>
          </rPr>
          <t xml:space="preserve">Simulation interval including both systematic and random error
</t>
        </r>
        <r>
          <rPr>
            <sz val="8"/>
            <color indexed="81"/>
            <rFont val="Tahoma"/>
            <family val="2"/>
          </rPr>
          <t xml:space="preserve">
</t>
        </r>
      </text>
    </comment>
    <comment ref="I33" authorId="0" shapeId="0" xr:uid="{00000000-0006-0000-0300-00001D000000}">
      <text>
        <r>
          <rPr>
            <b/>
            <sz val="8"/>
            <color indexed="81"/>
            <rFont val="Tahoma"/>
            <family val="2"/>
          </rPr>
          <t xml:space="preserve">Simulation interval including both systematic and random error
</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Matt Work</author>
  </authors>
  <commentList>
    <comment ref="AB1" authorId="0" shapeId="0" xr:uid="{C059245E-2492-B342-ACDD-A42A0453A01B}">
      <text>
        <r>
          <rPr>
            <b/>
            <sz val="8"/>
            <color indexed="81"/>
            <rFont val="Tahoma"/>
            <family val="2"/>
          </rPr>
          <t>This is where the bias parameters for a single simulation are sampled</t>
        </r>
        <r>
          <rPr>
            <sz val="8"/>
            <color indexed="81"/>
            <rFont val="Tahoma"/>
            <family val="2"/>
          </rPr>
          <t xml:space="preserve">
</t>
        </r>
      </text>
    </comment>
    <comment ref="AG2" authorId="0" shapeId="0" xr:uid="{9B00428A-6669-9F45-9FA0-25D7A31616DC}">
      <text>
        <r>
          <rPr>
            <b/>
            <sz val="8"/>
            <color rgb="FF000000"/>
            <rFont val="Tahoma"/>
            <family val="2"/>
          </rPr>
          <t>This is where data for the graphs of the bias parameters is created</t>
        </r>
        <r>
          <rPr>
            <sz val="8"/>
            <color rgb="FF000000"/>
            <rFont val="Tahoma"/>
            <family val="2"/>
          </rPr>
          <t xml:space="preserve">
</t>
        </r>
      </text>
    </comment>
    <comment ref="J6" authorId="0" shapeId="0" xr:uid="{BEAF85AE-E2D7-504D-8363-F6DE63C00E81}">
      <text>
        <r>
          <rPr>
            <b/>
            <sz val="8"/>
            <color rgb="FF000000"/>
            <rFont val="Tahoma"/>
            <family val="2"/>
          </rPr>
          <t>Checks if the values entered for the bias parameters are logical (i.e min &lt; mod1&lt; mod2&lt;max)</t>
        </r>
        <r>
          <rPr>
            <sz val="8"/>
            <color rgb="FF000000"/>
            <rFont val="Tahoma"/>
            <family val="2"/>
          </rPr>
          <t xml:space="preserve">
</t>
        </r>
      </text>
    </comment>
    <comment ref="C7" authorId="0" shapeId="0" xr:uid="{9E96973B-50F2-ED40-9EBD-C0EBC38F2045}">
      <text>
        <r>
          <rPr>
            <b/>
            <sz val="8"/>
            <color indexed="81"/>
            <rFont val="Tahoma"/>
            <family val="2"/>
          </rPr>
          <t>Minimum value for distribution</t>
        </r>
      </text>
    </comment>
    <comment ref="E7" authorId="0" shapeId="0" xr:uid="{A6E3FE82-18F8-9A47-970B-1AC9FAF4111D}">
      <text>
        <r>
          <rPr>
            <b/>
            <sz val="8"/>
            <color indexed="81"/>
            <rFont val="Tahoma"/>
            <family val="2"/>
          </rPr>
          <t>Lower mode value for distribution</t>
        </r>
        <r>
          <rPr>
            <sz val="8"/>
            <color indexed="81"/>
            <rFont val="Tahoma"/>
            <family val="2"/>
          </rPr>
          <t xml:space="preserve">
</t>
        </r>
      </text>
    </comment>
    <comment ref="G7" authorId="0" shapeId="0" xr:uid="{3E209346-8B1A-7046-94F7-069B39297DB8}">
      <text>
        <r>
          <rPr>
            <b/>
            <sz val="8"/>
            <color rgb="FF000000"/>
            <rFont val="Tahoma"/>
            <family val="2"/>
          </rPr>
          <t>Upper mode value for distribution</t>
        </r>
        <r>
          <rPr>
            <sz val="8"/>
            <color rgb="FF000000"/>
            <rFont val="Tahoma"/>
            <family val="2"/>
          </rPr>
          <t xml:space="preserve">
</t>
        </r>
      </text>
    </comment>
    <comment ref="I7" authorId="0" shapeId="0" xr:uid="{1C245F0F-8EDA-6F4C-8B57-1EF3BB82F4F8}">
      <text>
        <r>
          <rPr>
            <b/>
            <sz val="8"/>
            <color rgb="FF000000"/>
            <rFont val="Tahoma"/>
            <family val="2"/>
          </rPr>
          <t>Maximum value for distribution</t>
        </r>
        <r>
          <rPr>
            <sz val="8"/>
            <color rgb="FF000000"/>
            <rFont val="Tahoma"/>
            <family val="2"/>
          </rPr>
          <t xml:space="preserve">
</t>
        </r>
      </text>
    </comment>
    <comment ref="C11" authorId="0" shapeId="0" xr:uid="{ED8E2945-0F86-D44D-9BCD-1C305ABE7C0F}">
      <text>
        <r>
          <rPr>
            <b/>
            <sz val="8"/>
            <color rgb="FF000000"/>
            <rFont val="Tahoma"/>
            <family val="2"/>
          </rPr>
          <t>Input the number of simulations you would like to run</t>
        </r>
      </text>
    </comment>
    <comment ref="I13" authorId="0" shapeId="0" xr:uid="{30224C38-24E6-B848-B538-BFB8450E2970}">
      <text>
        <r>
          <rPr>
            <b/>
            <sz val="8"/>
            <color rgb="FF000000"/>
            <rFont val="Tahoma"/>
            <family val="2"/>
          </rPr>
          <t>What is the exposure?</t>
        </r>
        <r>
          <rPr>
            <sz val="8"/>
            <color rgb="FF000000"/>
            <rFont val="Tahoma"/>
            <family val="2"/>
          </rPr>
          <t xml:space="preserve">
</t>
        </r>
      </text>
    </comment>
    <comment ref="C14" authorId="0" shapeId="0" xr:uid="{87E1C539-EA4A-6F45-B095-AF6144A45B84}">
      <text>
        <r>
          <rPr>
            <b/>
            <sz val="8"/>
            <color indexed="81"/>
            <rFont val="Tahoma"/>
            <family val="2"/>
          </rPr>
          <t>What is the unknown or unmeasured confounder?</t>
        </r>
      </text>
    </comment>
    <comment ref="I14" authorId="0" shapeId="0" xr:uid="{EE6618E5-E4A3-434B-827D-7F7FC765CD65}">
      <text>
        <r>
          <rPr>
            <b/>
            <sz val="8"/>
            <color rgb="FF000000"/>
            <rFont val="Tahoma"/>
            <family val="2"/>
          </rPr>
          <t xml:space="preserve">What is the outcome?
</t>
        </r>
      </text>
    </comment>
    <comment ref="S20" authorId="0" shapeId="0" xr:uid="{3FFDCE99-4829-2146-8525-88E1841DDD1C}">
      <text>
        <r>
          <rPr>
            <b/>
            <sz val="8"/>
            <color rgb="FF000000"/>
            <rFont val="Tahoma"/>
            <family val="2"/>
          </rPr>
          <t>This is where the systematic error simulation data is stored</t>
        </r>
        <r>
          <rPr>
            <sz val="8"/>
            <color rgb="FF000000"/>
            <rFont val="Tahoma"/>
            <family val="2"/>
          </rPr>
          <t xml:space="preserve">
</t>
        </r>
      </text>
    </comment>
    <comment ref="U20" authorId="0" shapeId="0" xr:uid="{94C63786-06FF-D246-9E8E-F535C0FD7202}">
      <text>
        <r>
          <rPr>
            <b/>
            <sz val="8"/>
            <color rgb="FF000000"/>
            <rFont val="Tahoma"/>
            <family val="2"/>
          </rPr>
          <t>This is where the systematic and random error simulation data is stored</t>
        </r>
        <r>
          <rPr>
            <sz val="8"/>
            <color rgb="FF000000"/>
            <rFont val="Tahoma"/>
            <family val="2"/>
          </rPr>
          <t xml:space="preserve">
</t>
        </r>
      </text>
    </comment>
    <comment ref="W20" authorId="0" shapeId="0" xr:uid="{9540036B-D0A2-BD4D-A45F-4588B695560B}">
      <text>
        <r>
          <rPr>
            <b/>
            <sz val="8"/>
            <color indexed="81"/>
            <rFont val="Tahoma"/>
            <family val="2"/>
          </rPr>
          <t xml:space="preserve">This is where the sampled bias parameters are stored
</t>
        </r>
        <r>
          <rPr>
            <sz val="8"/>
            <color indexed="81"/>
            <rFont val="Tahoma"/>
            <family val="2"/>
          </rPr>
          <t xml:space="preserve">
</t>
        </r>
      </text>
    </comment>
    <comment ref="P33" authorId="0" shapeId="0" xr:uid="{4DF770CE-E135-374A-A54C-7FEE31D6E013}">
      <text>
        <r>
          <rPr>
            <sz val="12"/>
            <color rgb="FF000000"/>
            <rFont val="Arial"/>
            <family val="2"/>
          </rPr>
          <t>Number of simulations that were discarded because of negative cells or 0 cells.</t>
        </r>
      </text>
    </comment>
    <comment ref="B35" authorId="0" shapeId="0" xr:uid="{2813F885-8AA3-CE4A-923E-11FE13C601D5}">
      <text>
        <r>
          <rPr>
            <b/>
            <sz val="8"/>
            <color indexed="81"/>
            <rFont val="Tahoma"/>
            <family val="2"/>
          </rPr>
          <t>Traditional 95% confidence interval including only random error</t>
        </r>
      </text>
    </comment>
    <comment ref="I35" authorId="0" shapeId="0" xr:uid="{0F3F0FAF-B7FA-8049-9B26-C22F07AB85F4}">
      <text>
        <r>
          <rPr>
            <b/>
            <sz val="8"/>
            <color rgb="FF000000"/>
            <rFont val="Tahoma"/>
            <family val="2"/>
          </rPr>
          <t>Traditional 95% confidence interval including only random error</t>
        </r>
      </text>
    </comment>
    <comment ref="B36" authorId="0" shapeId="0" xr:uid="{18E1B94A-CB80-114E-B70A-122BD68434B0}">
      <text>
        <r>
          <rPr>
            <b/>
            <sz val="8"/>
            <color indexed="81"/>
            <rFont val="Tahoma"/>
            <family val="2"/>
          </rPr>
          <t>Simulation interval including only systematic error</t>
        </r>
        <r>
          <rPr>
            <sz val="8"/>
            <color indexed="81"/>
            <rFont val="Tahoma"/>
            <family val="2"/>
          </rPr>
          <t xml:space="preserve">
</t>
        </r>
      </text>
    </comment>
    <comment ref="I36" authorId="0" shapeId="0" xr:uid="{647A7683-6469-5D44-BB47-98ACF64A9903}">
      <text>
        <r>
          <rPr>
            <b/>
            <sz val="8"/>
            <color indexed="81"/>
            <rFont val="Tahoma"/>
            <family val="2"/>
          </rPr>
          <t>Simulation interval including only systematic error</t>
        </r>
        <r>
          <rPr>
            <sz val="8"/>
            <color indexed="81"/>
            <rFont val="Tahoma"/>
            <family val="2"/>
          </rPr>
          <t xml:space="preserve">
</t>
        </r>
      </text>
    </comment>
    <comment ref="B37" authorId="0" shapeId="0" xr:uid="{20C3AD47-545F-1B46-94C5-4865F32F72B8}">
      <text>
        <r>
          <rPr>
            <b/>
            <sz val="8"/>
            <color indexed="81"/>
            <rFont val="Tahoma"/>
            <family val="2"/>
          </rPr>
          <t xml:space="preserve">Simulation interval including both systematic and random error
</t>
        </r>
        <r>
          <rPr>
            <sz val="8"/>
            <color indexed="81"/>
            <rFont val="Tahoma"/>
            <family val="2"/>
          </rPr>
          <t xml:space="preserve">
</t>
        </r>
      </text>
    </comment>
    <comment ref="I37" authorId="0" shapeId="0" xr:uid="{E6E8AA5A-B189-424B-8E1C-0F35ED812913}">
      <text>
        <r>
          <rPr>
            <b/>
            <sz val="8"/>
            <color indexed="81"/>
            <rFont val="Tahoma"/>
            <family val="2"/>
          </rPr>
          <t xml:space="preserve">Simulation interval including both systematic and random error
</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Matt Work</author>
  </authors>
  <commentList>
    <comment ref="Z1" authorId="0" shapeId="0" xr:uid="{00000000-0006-0000-0400-000001000000}">
      <text>
        <r>
          <rPr>
            <b/>
            <sz val="8"/>
            <color indexed="81"/>
            <rFont val="Tahoma"/>
            <family val="2"/>
          </rPr>
          <t>This is where the bias parameters for a single simulation are sampled</t>
        </r>
        <r>
          <rPr>
            <sz val="8"/>
            <color indexed="81"/>
            <rFont val="Tahoma"/>
            <family val="2"/>
          </rPr>
          <t xml:space="preserve">
</t>
        </r>
      </text>
    </comment>
    <comment ref="AM2" authorId="0" shapeId="0" xr:uid="{A99DB168-9EA0-BD44-AE8E-D4C4E2516749}">
      <text>
        <r>
          <rPr>
            <b/>
            <sz val="8"/>
            <color rgb="FF000000"/>
            <rFont val="Tahoma"/>
            <family val="2"/>
          </rPr>
          <t>This is where data for the graphs of the bias parameters is created</t>
        </r>
        <r>
          <rPr>
            <sz val="8"/>
            <color rgb="FF000000"/>
            <rFont val="Tahoma"/>
            <family val="2"/>
          </rPr>
          <t xml:space="preserve">
</t>
        </r>
      </text>
    </comment>
    <comment ref="C7" authorId="0" shapeId="0" xr:uid="{B8673626-E061-214D-8CFC-F1D65B15F9C2}">
      <text>
        <r>
          <rPr>
            <b/>
            <sz val="8"/>
            <color rgb="FF000000"/>
            <rFont val="Tahoma"/>
            <family val="2"/>
          </rPr>
          <t>Minimum value for distribution</t>
        </r>
      </text>
    </comment>
    <comment ref="E7" authorId="0" shapeId="0" xr:uid="{DF13FB15-70EC-1641-8F9F-70AE0C064C28}">
      <text>
        <r>
          <rPr>
            <b/>
            <sz val="8"/>
            <color rgb="FF000000"/>
            <rFont val="Tahoma"/>
            <family val="2"/>
          </rPr>
          <t>Lower mode value for distribution</t>
        </r>
        <r>
          <rPr>
            <sz val="8"/>
            <color rgb="FF000000"/>
            <rFont val="Tahoma"/>
            <family val="2"/>
          </rPr>
          <t xml:space="preserve">
</t>
        </r>
      </text>
    </comment>
    <comment ref="G7" authorId="0" shapeId="0" xr:uid="{18E0EDBF-46DC-2B48-8C9F-22A39D041889}">
      <text>
        <r>
          <rPr>
            <b/>
            <sz val="8"/>
            <color rgb="FF000000"/>
            <rFont val="Tahoma"/>
            <family val="2"/>
          </rPr>
          <t>Upper mode value for distribution</t>
        </r>
        <r>
          <rPr>
            <sz val="8"/>
            <color rgb="FF000000"/>
            <rFont val="Tahoma"/>
            <family val="2"/>
          </rPr>
          <t xml:space="preserve">
</t>
        </r>
      </text>
    </comment>
    <comment ref="H7" authorId="0" shapeId="0" xr:uid="{743E9ECD-72FD-4946-94F6-D341842FA7B7}">
      <text>
        <r>
          <rPr>
            <b/>
            <sz val="8"/>
            <color rgb="FF000000"/>
            <rFont val="Tahoma"/>
            <family val="2"/>
          </rPr>
          <t>Maximum value for distribution</t>
        </r>
        <r>
          <rPr>
            <sz val="8"/>
            <color rgb="FF000000"/>
            <rFont val="Tahoma"/>
            <family val="2"/>
          </rPr>
          <t xml:space="preserve">
</t>
        </r>
      </text>
    </comment>
    <comment ref="J8" authorId="0" shapeId="0" xr:uid="{00000000-0006-0000-0400-00000B000000}">
      <text>
        <r>
          <rPr>
            <b/>
            <sz val="8"/>
            <color rgb="FF000000"/>
            <rFont val="Tahoma"/>
            <family val="2"/>
          </rPr>
          <t>What is the exposure?</t>
        </r>
      </text>
    </comment>
    <comment ref="J9" authorId="0" shapeId="0" xr:uid="{00000000-0006-0000-0400-000009000000}">
      <text>
        <r>
          <rPr>
            <b/>
            <sz val="8"/>
            <color rgb="FF000000"/>
            <rFont val="Tahoma"/>
            <family val="2"/>
          </rPr>
          <t>What is the outcome?</t>
        </r>
      </text>
    </comment>
    <comment ref="K10" authorId="0" shapeId="0" xr:uid="{00000000-0006-0000-0400-00000A000000}">
      <text>
        <r>
          <rPr>
            <b/>
            <sz val="8"/>
            <color rgb="FF000000"/>
            <rFont val="Tahoma"/>
            <family val="2"/>
          </rPr>
          <t>Enter the number of simulations</t>
        </r>
        <r>
          <rPr>
            <sz val="8"/>
            <color rgb="FF000000"/>
            <rFont val="Tahoma"/>
            <family val="2"/>
          </rPr>
          <t xml:space="preserve">
</t>
        </r>
      </text>
    </comment>
    <comment ref="U11" authorId="0" shapeId="0" xr:uid="{D4C92933-173D-6145-A286-B9D0F9B47091}">
      <text>
        <r>
          <rPr>
            <b/>
            <sz val="8"/>
            <color rgb="FF000000"/>
            <rFont val="Tahoma"/>
            <family val="2"/>
          </rPr>
          <t>This is where the systematic error simulation data is stored</t>
        </r>
        <r>
          <rPr>
            <sz val="8"/>
            <color rgb="FF000000"/>
            <rFont val="Tahoma"/>
            <family val="2"/>
          </rPr>
          <t xml:space="preserve">
</t>
        </r>
      </text>
    </comment>
    <comment ref="W11" authorId="0" shapeId="0" xr:uid="{4DC37BF2-788F-8D4C-95A6-DB01E104B119}">
      <text>
        <r>
          <rPr>
            <b/>
            <sz val="8"/>
            <color rgb="FF000000"/>
            <rFont val="Tahoma"/>
            <family val="2"/>
          </rPr>
          <t>This is where the systematic and random error simulation data is stored</t>
        </r>
        <r>
          <rPr>
            <sz val="8"/>
            <color rgb="FF000000"/>
            <rFont val="Tahoma"/>
            <family val="2"/>
          </rPr>
          <t xml:space="preserve">
</t>
        </r>
      </text>
    </comment>
    <comment ref="Y11" authorId="0" shapeId="0" xr:uid="{6351B74E-A0F7-1443-BA03-CD0A066060A5}">
      <text>
        <r>
          <rPr>
            <b/>
            <sz val="8"/>
            <color rgb="FF000000"/>
            <rFont val="Tahoma"/>
            <family val="2"/>
          </rPr>
          <t>This is where the sampled bias parameters are stored</t>
        </r>
        <r>
          <rPr>
            <sz val="8"/>
            <color rgb="FF000000"/>
            <rFont val="Tahoma"/>
            <family val="2"/>
          </rPr>
          <t xml:space="preserve">
</t>
        </r>
      </text>
    </comment>
    <comment ref="P31" authorId="0" shapeId="0" xr:uid="{E02FBFAA-AD64-B24B-9D93-865DBE1CB1F4}">
      <text>
        <r>
          <rPr>
            <sz val="12"/>
            <color rgb="FF000000"/>
            <rFont val="Arial"/>
            <family val="2"/>
          </rPr>
          <t>Number of simulations that were discarded because of negative cells or 0 cells.</t>
        </r>
      </text>
    </comment>
    <comment ref="B33" authorId="0" shapeId="0" xr:uid="{2D891257-9723-7E42-8EBB-41C26686FFAB}">
      <text>
        <r>
          <rPr>
            <b/>
            <sz val="8"/>
            <color indexed="81"/>
            <rFont val="Tahoma"/>
            <family val="2"/>
          </rPr>
          <t>Traditional 95% confidence interval including only random error</t>
        </r>
      </text>
    </comment>
    <comment ref="I33" authorId="0" shapeId="0" xr:uid="{89B1B549-3A0C-894B-AF48-4F68172A21D0}">
      <text>
        <r>
          <rPr>
            <b/>
            <sz val="8"/>
            <color indexed="81"/>
            <rFont val="Tahoma"/>
            <family val="2"/>
          </rPr>
          <t>Traditional 95% confidence interval including only random error</t>
        </r>
      </text>
    </comment>
    <comment ref="B34" authorId="0" shapeId="0" xr:uid="{241564AA-16C4-3649-8FD9-4FCCDCCCE37F}">
      <text>
        <r>
          <rPr>
            <b/>
            <sz val="8"/>
            <color indexed="81"/>
            <rFont val="Tahoma"/>
            <family val="2"/>
          </rPr>
          <t>Simulation interval including only systematic error</t>
        </r>
        <r>
          <rPr>
            <sz val="8"/>
            <color indexed="81"/>
            <rFont val="Tahoma"/>
            <family val="2"/>
          </rPr>
          <t xml:space="preserve">
</t>
        </r>
      </text>
    </comment>
    <comment ref="I34" authorId="0" shapeId="0" xr:uid="{DD210DC6-4F7E-E94B-9DA5-62A033EB817D}">
      <text>
        <r>
          <rPr>
            <b/>
            <sz val="8"/>
            <color indexed="81"/>
            <rFont val="Tahoma"/>
            <family val="2"/>
          </rPr>
          <t>Simulation interval including only systematic error</t>
        </r>
        <r>
          <rPr>
            <sz val="8"/>
            <color indexed="81"/>
            <rFont val="Tahoma"/>
            <family val="2"/>
          </rPr>
          <t xml:space="preserve">
</t>
        </r>
      </text>
    </comment>
    <comment ref="B35" authorId="0" shapeId="0" xr:uid="{04713A04-AC23-1845-BE29-F14412E17DAD}">
      <text>
        <r>
          <rPr>
            <b/>
            <sz val="8"/>
            <color indexed="81"/>
            <rFont val="Tahoma"/>
            <family val="2"/>
          </rPr>
          <t xml:space="preserve">Simulation interval including both systematic and random error
</t>
        </r>
        <r>
          <rPr>
            <sz val="8"/>
            <color indexed="81"/>
            <rFont val="Tahoma"/>
            <family val="2"/>
          </rPr>
          <t xml:space="preserve">
</t>
        </r>
      </text>
    </comment>
    <comment ref="I35" authorId="0" shapeId="0" xr:uid="{512E74F1-2174-3548-B99D-EDB81E267BCC}">
      <text>
        <r>
          <rPr>
            <b/>
            <sz val="8"/>
            <color indexed="81"/>
            <rFont val="Tahoma"/>
            <family val="2"/>
          </rPr>
          <t xml:space="preserve">Simulation interval including both systematic and random error
</t>
        </r>
        <r>
          <rPr>
            <sz val="8"/>
            <color indexed="81"/>
            <rFont val="Tahoma"/>
            <family val="2"/>
          </rPr>
          <t xml:space="preserve">
</t>
        </r>
      </text>
    </comment>
  </commentList>
</comments>
</file>

<file path=xl/sharedStrings.xml><?xml version="1.0" encoding="utf-8"?>
<sst xmlns="http://schemas.openxmlformats.org/spreadsheetml/2006/main" count="560" uniqueCount="199">
  <si>
    <t>E+</t>
  </si>
  <si>
    <t>Total</t>
  </si>
  <si>
    <t>SE(LN(OR))</t>
  </si>
  <si>
    <t>SE(LN(RR))</t>
  </si>
  <si>
    <t>Measure (95% CI)</t>
  </si>
  <si>
    <t>Instructions</t>
  </si>
  <si>
    <t>Crude</t>
  </si>
  <si>
    <t>Input Bias Parameters</t>
  </si>
  <si>
    <t>add intro text from chapter</t>
  </si>
  <si>
    <t>Notes</t>
  </si>
  <si>
    <t>Exposure</t>
  </si>
  <si>
    <t>Outcome</t>
  </si>
  <si>
    <t>Confounder</t>
  </si>
  <si>
    <t>HIV</t>
  </si>
  <si>
    <t>Circ</t>
  </si>
  <si>
    <t>a</t>
  </si>
  <si>
    <t>c</t>
  </si>
  <si>
    <t>b</t>
  </si>
  <si>
    <t>d</t>
  </si>
  <si>
    <t>n</t>
  </si>
  <si>
    <t>m</t>
  </si>
  <si>
    <r>
      <t>A</t>
    </r>
    <r>
      <rPr>
        <b/>
        <vertAlign val="subscript"/>
        <sz val="8"/>
        <color indexed="23"/>
        <rFont val="Arial"/>
        <family val="2"/>
      </rPr>
      <t>1</t>
    </r>
  </si>
  <si>
    <r>
      <t>C</t>
    </r>
    <r>
      <rPr>
        <b/>
        <vertAlign val="subscript"/>
        <sz val="8"/>
        <color indexed="23"/>
        <rFont val="Arial"/>
        <family val="2"/>
      </rPr>
      <t>1</t>
    </r>
  </si>
  <si>
    <r>
      <t>M</t>
    </r>
    <r>
      <rPr>
        <b/>
        <vertAlign val="subscript"/>
        <sz val="8"/>
        <color indexed="23"/>
        <rFont val="Arial"/>
        <family val="2"/>
      </rPr>
      <t>1</t>
    </r>
  </si>
  <si>
    <r>
      <t>B</t>
    </r>
    <r>
      <rPr>
        <b/>
        <vertAlign val="subscript"/>
        <sz val="8"/>
        <color indexed="23"/>
        <rFont val="Arial"/>
        <family val="2"/>
      </rPr>
      <t>1</t>
    </r>
  </si>
  <si>
    <r>
      <t>D</t>
    </r>
    <r>
      <rPr>
        <b/>
        <vertAlign val="subscript"/>
        <sz val="8"/>
        <color indexed="23"/>
        <rFont val="Arial"/>
        <family val="2"/>
      </rPr>
      <t>1</t>
    </r>
  </si>
  <si>
    <r>
      <t>N</t>
    </r>
    <r>
      <rPr>
        <b/>
        <vertAlign val="subscript"/>
        <sz val="8"/>
        <color indexed="23"/>
        <rFont val="Arial"/>
        <family val="2"/>
      </rPr>
      <t>1</t>
    </r>
  </si>
  <si>
    <r>
      <t>A</t>
    </r>
    <r>
      <rPr>
        <b/>
        <vertAlign val="subscript"/>
        <sz val="8"/>
        <color indexed="23"/>
        <rFont val="Arial"/>
        <family val="2"/>
      </rPr>
      <t>0</t>
    </r>
  </si>
  <si>
    <r>
      <t>C</t>
    </r>
    <r>
      <rPr>
        <b/>
        <vertAlign val="subscript"/>
        <sz val="8"/>
        <color indexed="23"/>
        <rFont val="Arial"/>
        <family val="2"/>
      </rPr>
      <t>0</t>
    </r>
  </si>
  <si>
    <r>
      <t>M</t>
    </r>
    <r>
      <rPr>
        <b/>
        <vertAlign val="subscript"/>
        <sz val="8"/>
        <color indexed="23"/>
        <rFont val="Arial"/>
        <family val="2"/>
      </rPr>
      <t>0</t>
    </r>
  </si>
  <si>
    <r>
      <t>B</t>
    </r>
    <r>
      <rPr>
        <b/>
        <vertAlign val="subscript"/>
        <sz val="8"/>
        <color indexed="23"/>
        <rFont val="Arial"/>
        <family val="2"/>
      </rPr>
      <t>0</t>
    </r>
  </si>
  <si>
    <r>
      <t>D</t>
    </r>
    <r>
      <rPr>
        <b/>
        <vertAlign val="subscript"/>
        <sz val="8"/>
        <color indexed="23"/>
        <rFont val="Arial"/>
        <family val="2"/>
      </rPr>
      <t>0</t>
    </r>
  </si>
  <si>
    <r>
      <t>N</t>
    </r>
    <r>
      <rPr>
        <b/>
        <vertAlign val="subscript"/>
        <sz val="8"/>
        <color indexed="23"/>
        <rFont val="Arial"/>
        <family val="2"/>
      </rPr>
      <t>0</t>
    </r>
  </si>
  <si>
    <t>Variable Names</t>
  </si>
  <si>
    <t>Observed Data</t>
  </si>
  <si>
    <t>Observed</t>
  </si>
  <si>
    <t>Measure</t>
  </si>
  <si>
    <t>Min</t>
  </si>
  <si>
    <t>Mode</t>
  </si>
  <si>
    <t>Max</t>
  </si>
  <si>
    <t>Mode2</t>
  </si>
  <si>
    <t>RAND</t>
  </si>
  <si>
    <t>Chosen Param</t>
  </si>
  <si>
    <t>PARAM</t>
  </si>
  <si>
    <t>Misclassification type</t>
  </si>
  <si>
    <t>Fixed for ND</t>
  </si>
  <si>
    <t>Sims</t>
  </si>
  <si>
    <t>RR</t>
  </si>
  <si>
    <t>OR</t>
  </si>
  <si>
    <t>Se(D-)</t>
  </si>
  <si>
    <t>Se(D+)</t>
  </si>
  <si>
    <t>Sp(D+)</t>
  </si>
  <si>
    <t>Sp(D-)</t>
  </si>
  <si>
    <t>Chosen Bias Parameters</t>
  </si>
  <si>
    <t>Bins for Graphs</t>
  </si>
  <si>
    <t>Histogram</t>
  </si>
  <si>
    <t>Se(E+)</t>
  </si>
  <si>
    <t>Se(E-)</t>
  </si>
  <si>
    <t>Sp(E+)</t>
  </si>
  <si>
    <t>Sp(E-)</t>
  </si>
  <si>
    <r>
      <t>p</t>
    </r>
    <r>
      <rPr>
        <b/>
        <vertAlign val="subscript"/>
        <sz val="10"/>
        <rFont val="Arial"/>
        <family val="2"/>
      </rPr>
      <t>1</t>
    </r>
  </si>
  <si>
    <r>
      <t>p</t>
    </r>
    <r>
      <rPr>
        <b/>
        <vertAlign val="subscript"/>
        <sz val="10"/>
        <rFont val="Arial"/>
        <family val="2"/>
      </rPr>
      <t>0</t>
    </r>
  </si>
  <si>
    <r>
      <t>RR</t>
    </r>
    <r>
      <rPr>
        <b/>
        <vertAlign val="subscript"/>
        <sz val="10"/>
        <rFont val="Arial"/>
        <family val="2"/>
      </rPr>
      <t>DC</t>
    </r>
  </si>
  <si>
    <r>
      <t>RR</t>
    </r>
    <r>
      <rPr>
        <vertAlign val="subscript"/>
        <sz val="10"/>
        <color indexed="22"/>
        <rFont val="Arial"/>
        <family val="2"/>
      </rPr>
      <t>DC</t>
    </r>
  </si>
  <si>
    <t>Chosen Values</t>
  </si>
  <si>
    <t>Conventional</t>
  </si>
  <si>
    <t>Systematic</t>
  </si>
  <si>
    <t>Total Error</t>
  </si>
  <si>
    <t>Analysis</t>
  </si>
  <si>
    <r>
      <t>Median (2.5</t>
    </r>
    <r>
      <rPr>
        <b/>
        <vertAlign val="superscript"/>
        <sz val="10"/>
        <rFont val="Arial"/>
        <family val="2"/>
      </rPr>
      <t>th</t>
    </r>
    <r>
      <rPr>
        <b/>
        <sz val="10"/>
        <rFont val="Arial"/>
        <family val="2"/>
      </rPr>
      <t>-97.5</t>
    </r>
    <r>
      <rPr>
        <b/>
        <vertAlign val="superscript"/>
        <sz val="10"/>
        <rFont val="Arial"/>
        <family val="2"/>
      </rPr>
      <t>th</t>
    </r>
    <r>
      <rPr>
        <b/>
        <sz val="10"/>
        <rFont val="Arial"/>
        <family val="2"/>
      </rPr>
      <t xml:space="preserve"> percentile)</t>
    </r>
  </si>
  <si>
    <t>Syst Error</t>
  </si>
  <si>
    <t>Muslim</t>
  </si>
  <si>
    <t>D</t>
  </si>
  <si>
    <t xml:space="preserve">PROBABILISTIC OUTCOME MISCLASSIFICATION                                                                  </t>
  </si>
  <si>
    <t>Chapter 8</t>
  </si>
  <si>
    <t xml:space="preserve">PROBABILISTIC EXPOSURE MISCLASSIFICATION                                                                           </t>
  </si>
  <si>
    <t>BC</t>
  </si>
  <si>
    <t>Smoke</t>
  </si>
  <si>
    <t xml:space="preserve">PROBABILISTIC SENSITIVITY ANALYSIS UNMEASURED CONFOUNDING                                              </t>
  </si>
  <si>
    <t xml:space="preserve"> Chapter 8</t>
  </si>
  <si>
    <t>Mobile</t>
  </si>
  <si>
    <t>Melanoma</t>
  </si>
  <si>
    <t>Chosen values</t>
  </si>
  <si>
    <t>Error Check</t>
  </si>
  <si>
    <t>Exposure Misclassification</t>
  </si>
  <si>
    <t>Outcome Misclassification</t>
  </si>
  <si>
    <t>Selection Bias</t>
  </si>
  <si>
    <t>Notes:</t>
  </si>
  <si>
    <t>Developed by Matthew Fox, Aliza Fink, Timothy Lash 2007</t>
  </si>
  <si>
    <t xml:space="preserve">This Excel spreadsheet is based on the methods used in: </t>
  </si>
  <si>
    <t>No warranty is implied about the accuracy of the results</t>
  </si>
  <si>
    <t xml:space="preserve">Comments, questions or bugs, contact Matthew Fox:  </t>
  </si>
  <si>
    <t>mfox@bu.edu</t>
  </si>
  <si>
    <t>Additional copies along with SAS code for probabilistic sensitivity analysis can be downloaded at:</t>
  </si>
  <si>
    <t>RR rand</t>
  </si>
  <si>
    <t>OR rand</t>
  </si>
  <si>
    <t>Calculations</t>
  </si>
  <si>
    <t>Single Iteration</t>
  </si>
  <si>
    <t>Corr Se</t>
  </si>
  <si>
    <t>Corr Sp</t>
  </si>
  <si>
    <t>Correlation</t>
  </si>
  <si>
    <t>http://sites.google.com/site/biasanalysis/</t>
  </si>
  <si>
    <t>Corr p</t>
  </si>
  <si>
    <t>Bounds on Bias Parameters</t>
  </si>
  <si>
    <t>Se1 minimum</t>
  </si>
  <si>
    <t>Se0 minimum</t>
  </si>
  <si>
    <t>Sp1 minimum</t>
  </si>
  <si>
    <t>Sp0 minimum</t>
  </si>
  <si>
    <t>Single Simulated Bias-adjusted Data</t>
  </si>
  <si>
    <r>
      <t>Single Bias-adjusted</t>
    </r>
    <r>
      <rPr>
        <b/>
        <sz val="10"/>
        <rFont val="Arial"/>
        <family val="2"/>
      </rPr>
      <t xml:space="preserve"> Estimate</t>
    </r>
  </si>
  <si>
    <t>Single Bias-adjusted Estimate</t>
  </si>
  <si>
    <t>Uncontrolled Confounder</t>
  </si>
  <si>
    <t>Chapter 8, Version 2.01</t>
  </si>
  <si>
    <t>The spreadsheets included in this workbook can be use to conduct probabilistic bias analyses for different sources of bias</t>
  </si>
  <si>
    <t xml:space="preserve">Adjust for </t>
  </si>
  <si>
    <t>Probabilistic Bias Analyses</t>
  </si>
  <si>
    <t>Simulated Pr(E|D=1)</t>
  </si>
  <si>
    <t>Simulated Pr(E|D=0)</t>
  </si>
  <si>
    <t>A</t>
  </si>
  <si>
    <t>C</t>
  </si>
  <si>
    <t>B</t>
  </si>
  <si>
    <t>Simulated Pr(D|E=1)</t>
  </si>
  <si>
    <t>Simulated Pr(D|E=0)</t>
  </si>
  <si>
    <t>M</t>
  </si>
  <si>
    <t>N</t>
  </si>
  <si>
    <t>SE(LN(RRadj))</t>
  </si>
  <si>
    <t>SE(LN(ORadj))</t>
  </si>
  <si>
    <t>z1</t>
  </si>
  <si>
    <t>z2</t>
  </si>
  <si>
    <t>u1</t>
  </si>
  <si>
    <t>u2</t>
  </si>
  <si>
    <t>Actual corr Se</t>
  </si>
  <si>
    <t>Actual corr Sp</t>
  </si>
  <si>
    <t>Actual corr p</t>
  </si>
  <si>
    <t>Revised by</t>
  </si>
  <si>
    <t>Matthew Fox, Richard MacLehose, Timothy Lash 2021</t>
  </si>
  <si>
    <t>Negative or 0 cell</t>
  </si>
  <si>
    <t>RR(adjusted)</t>
  </si>
  <si>
    <t>OR(adjusted)</t>
  </si>
  <si>
    <t>SE(LN(OR Adjusted))</t>
  </si>
  <si>
    <t>SE(LN(RR Adjusted))</t>
  </si>
  <si>
    <t>Correlations</t>
  </si>
  <si>
    <t>RR rand adj</t>
  </si>
  <si>
    <t>S0,0</t>
  </si>
  <si>
    <t>S1,0</t>
  </si>
  <si>
    <t>S0,1</t>
  </si>
  <si>
    <t>S1,1</t>
  </si>
  <si>
    <t>Missing Data</t>
  </si>
  <si>
    <t>Error</t>
  </si>
  <si>
    <t>Variable names</t>
  </si>
  <si>
    <t xml:space="preserve">PROBABILISTIC BIAS ANALYSIS SELECTION BIAS                                                                   </t>
  </si>
  <si>
    <t>Chosen Parm</t>
  </si>
  <si>
    <t>SMR(RR)</t>
  </si>
  <si>
    <t>SE(LN(OR MHadj))</t>
  </si>
  <si>
    <t>SE(LN(RR MHadj))</t>
  </si>
  <si>
    <t>MH OR Var</t>
  </si>
  <si>
    <t>G</t>
  </si>
  <si>
    <t>H</t>
  </si>
  <si>
    <t>P</t>
  </si>
  <si>
    <t>Q</t>
  </si>
  <si>
    <t>SMR(OR)</t>
  </si>
  <si>
    <t>Fox MP, MacLehose R, Lash TL. Applying Quantitative Bias Analysis to Epidemiologic Data. Springer. 2021.</t>
  </si>
  <si>
    <t>Bias-adjusted Data</t>
  </si>
  <si>
    <t>Single Bias-adjusted Data</t>
  </si>
  <si>
    <t>Simple bias adjusted data</t>
  </si>
  <si>
    <t>Bias-Adjusted 
Selection Proportions</t>
  </si>
  <si>
    <t>Bias-Adjusted</t>
  </si>
  <si>
    <t>MH(RR)</t>
  </si>
  <si>
    <t>MH(OR)</t>
  </si>
  <si>
    <r>
      <t>MH</t>
    </r>
    <r>
      <rPr>
        <vertAlign val="subscript"/>
        <sz val="10"/>
        <color indexed="22"/>
        <rFont val="Arial"/>
        <family val="2"/>
      </rPr>
      <t>RR</t>
    </r>
  </si>
  <si>
    <r>
      <t>MH</t>
    </r>
    <r>
      <rPr>
        <vertAlign val="subscript"/>
        <sz val="10"/>
        <color indexed="22"/>
        <rFont val="Arial"/>
        <family val="2"/>
      </rPr>
      <t>OR</t>
    </r>
  </si>
  <si>
    <t>MH Adjusted Measures</t>
  </si>
  <si>
    <t>Pr(E|D=1)</t>
  </si>
  <si>
    <t>Pr(E|D=0)</t>
  </si>
  <si>
    <t>Pr(D|E=1)</t>
  </si>
  <si>
    <t>Pr(D|E=0)</t>
  </si>
  <si>
    <t/>
  </si>
  <si>
    <t>Iterations with cell frequencies ≤ 0</t>
  </si>
  <si>
    <t>PPV(E+)</t>
  </si>
  <si>
    <t>PPV(E-)</t>
  </si>
  <si>
    <t>NPV(E+)</t>
  </si>
  <si>
    <t>NPV(E-)</t>
  </si>
  <si>
    <t>PPV(D+)</t>
  </si>
  <si>
    <t>PPV(D-)</t>
  </si>
  <si>
    <t>NPV(D+)</t>
  </si>
  <si>
    <t>NPV(D-)</t>
  </si>
  <si>
    <t>Label</t>
  </si>
  <si>
    <t>Estimate</t>
  </si>
  <si>
    <t>Lower</t>
  </si>
  <si>
    <t>Upper</t>
  </si>
  <si>
    <t>lower_bar</t>
  </si>
  <si>
    <t>upper_bar</t>
  </si>
  <si>
    <t>Y-axis position for estimate</t>
  </si>
  <si>
    <t>Random Error</t>
  </si>
  <si>
    <t>Systemtic Error</t>
  </si>
  <si>
    <t>Note: You can reformat the range of the X axis to show the forest plots better</t>
  </si>
  <si>
    <t>ND</t>
  </si>
  <si>
    <t>DIFF</t>
  </si>
  <si>
    <t>Systematic 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</si>
</sst>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0.0"/>
    <numFmt numFmtId="165" formatCode="0.00000"/>
    <numFmt numFmtId="166" formatCode="0.0000"/>
    <numFmt numFmtId="167" formatCode="0.000"/>
    <numFmt numFmtId="168" formatCode="0.0%"/>
    <numFmt numFmtId="169" formatCode="_(* #,##0.0_);_(* \(#,##0.0\);_(* &quot;-&quot;??_);_(@_)"/>
    <numFmt numFmtId="170" formatCode="_(* #,##0_);_(* \(#,##0\);_(* &quot;-&quot;??_);_(@_)"/>
    <numFmt numFmtId="171" formatCode="0.000000"/>
  </numFmts>
  <fonts count="36" x14ac:knownFonts="1">
    <font>
      <sz val="10"/>
      <name val="Arial"/>
      <family val="2"/>
    </font>
    <font>
      <sz val="10"/>
      <name val="Arial"/>
      <family val="2"/>
    </font>
    <font>
      <u/>
      <sz val="10"/>
      <color indexed="12"/>
      <name val="Arial"/>
      <family val="2"/>
    </font>
    <font>
      <sz val="8"/>
      <name val="Arial"/>
      <family val="2"/>
    </font>
    <font>
      <b/>
      <sz val="10"/>
      <name val="Arial"/>
      <family val="2"/>
    </font>
    <font>
      <sz val="10"/>
      <name val="Arial"/>
      <family val="2"/>
    </font>
    <font>
      <sz val="8"/>
      <color indexed="81"/>
      <name val="Tahoma"/>
      <family val="2"/>
    </font>
    <font>
      <b/>
      <sz val="8"/>
      <color indexed="81"/>
      <name val="Tahoma"/>
      <family val="2"/>
    </font>
    <font>
      <b/>
      <vertAlign val="subscript"/>
      <sz val="10"/>
      <name val="Arial"/>
      <family val="2"/>
    </font>
    <font>
      <sz val="10"/>
      <color indexed="9"/>
      <name val="Arial"/>
      <family val="2"/>
    </font>
    <font>
      <b/>
      <sz val="10"/>
      <color indexed="9"/>
      <name val="Arial"/>
      <family val="2"/>
    </font>
    <font>
      <b/>
      <sz val="8"/>
      <color indexed="9"/>
      <name val="Arial"/>
      <family val="2"/>
    </font>
    <font>
      <b/>
      <sz val="8"/>
      <name val="Arial"/>
      <family val="2"/>
    </font>
    <font>
      <b/>
      <sz val="8"/>
      <color indexed="23"/>
      <name val="Arial"/>
      <family val="2"/>
    </font>
    <font>
      <b/>
      <vertAlign val="subscript"/>
      <sz val="8"/>
      <color indexed="23"/>
      <name val="Arial"/>
      <family val="2"/>
    </font>
    <font>
      <i/>
      <sz val="10"/>
      <name val="Arial"/>
      <family val="2"/>
    </font>
    <font>
      <sz val="10"/>
      <color indexed="9"/>
      <name val="Arial"/>
      <family val="2"/>
    </font>
    <font>
      <sz val="10"/>
      <color indexed="22"/>
      <name val="Arial"/>
      <family val="2"/>
    </font>
    <font>
      <vertAlign val="subscript"/>
      <sz val="10"/>
      <color indexed="22"/>
      <name val="Arial"/>
      <family val="2"/>
    </font>
    <font>
      <b/>
      <vertAlign val="superscript"/>
      <sz val="10"/>
      <name val="Arial"/>
      <family val="2"/>
    </font>
    <font>
      <sz val="10"/>
      <color indexed="63"/>
      <name val="Arial"/>
      <family val="2"/>
    </font>
    <font>
      <b/>
      <sz val="10"/>
      <color indexed="63"/>
      <name val="Arial"/>
      <family val="2"/>
    </font>
    <font>
      <u/>
      <sz val="10"/>
      <color indexed="12"/>
      <name val="MS Sans Serif"/>
      <family val="2"/>
    </font>
    <font>
      <sz val="12"/>
      <name val="Arial"/>
      <family val="2"/>
    </font>
    <font>
      <b/>
      <sz val="10"/>
      <color indexed="22"/>
      <name val="Arial"/>
      <family val="2"/>
    </font>
    <font>
      <sz val="10"/>
      <color indexed="12"/>
      <name val="Arial"/>
      <family val="2"/>
    </font>
    <font>
      <b/>
      <sz val="8"/>
      <color indexed="8"/>
      <name val="Tahoma"/>
      <family val="2"/>
    </font>
    <font>
      <sz val="8"/>
      <color indexed="8"/>
      <name val="Tahoma"/>
      <family val="2"/>
    </font>
    <font>
      <sz val="10"/>
      <color theme="1"/>
      <name val="Arial"/>
      <family val="2"/>
    </font>
    <font>
      <sz val="10"/>
      <color rgb="FF000000"/>
      <name val="Arial"/>
      <family val="2"/>
    </font>
    <font>
      <b/>
      <sz val="8"/>
      <color rgb="FF000000"/>
      <name val="Tahoma"/>
      <family val="2"/>
    </font>
    <font>
      <sz val="8"/>
      <color rgb="FF000000"/>
      <name val="Tahoma"/>
      <family val="2"/>
    </font>
    <font>
      <sz val="12"/>
      <color rgb="FF000000"/>
      <name val="Arial"/>
      <family val="2"/>
    </font>
    <font>
      <sz val="10"/>
      <color theme="0"/>
      <name val="Arial"/>
      <family val="2"/>
    </font>
    <font>
      <b/>
      <sz val="11"/>
      <color theme="0" tint="-0.14999847407452621"/>
      <name val="Calibri"/>
      <family val="2"/>
      <scheme val="minor"/>
    </font>
    <font>
      <sz val="10"/>
      <color theme="0" tint="-0.14999847407452621"/>
      <name val="Arial"/>
      <family val="2"/>
    </font>
  </fonts>
  <fills count="8">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43"/>
        <bgColor indexed="64"/>
      </patternFill>
    </fill>
    <fill>
      <patternFill patternType="solid">
        <fgColor indexed="8"/>
        <bgColor indexed="64"/>
      </patternFill>
    </fill>
    <fill>
      <patternFill patternType="solid">
        <fgColor theme="0"/>
        <bgColor indexed="64"/>
      </patternFill>
    </fill>
  </fills>
  <borders count="32">
    <border>
      <left/>
      <right/>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medium">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double">
        <color indexed="64"/>
      </top>
      <bottom/>
      <diagonal/>
    </border>
    <border>
      <left/>
      <right/>
      <top style="double">
        <color indexed="64"/>
      </top>
      <bottom/>
      <diagonal/>
    </border>
    <border>
      <left/>
      <right style="medium">
        <color indexed="64"/>
      </right>
      <top style="double">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s>
  <cellStyleXfs count="6">
    <xf numFmtId="0" fontId="0" fillId="0" borderId="0"/>
    <xf numFmtId="43" fontId="1" fillId="0" borderId="0" applyFont="0" applyFill="0" applyBorder="0" applyAlignment="0" applyProtection="0"/>
    <xf numFmtId="0" fontId="2" fillId="0" borderId="0" applyNumberFormat="0" applyFill="0" applyBorder="0" applyAlignment="0" applyProtection="0">
      <alignment vertical="top"/>
      <protection locked="0"/>
    </xf>
    <xf numFmtId="9" fontId="1" fillId="0" borderId="0" applyFont="0" applyFill="0" applyBorder="0" applyAlignment="0" applyProtection="0"/>
    <xf numFmtId="9" fontId="1" fillId="0" borderId="0" applyFont="0" applyFill="0" applyBorder="0" applyAlignment="0" applyProtection="0"/>
    <xf numFmtId="0" fontId="1" fillId="0" borderId="0"/>
  </cellStyleXfs>
  <cellXfs count="299">
    <xf numFmtId="0" fontId="0" fillId="0" borderId="0" xfId="0"/>
    <xf numFmtId="0" fontId="4" fillId="2" borderId="0" xfId="0" applyFont="1" applyFill="1"/>
    <xf numFmtId="0" fontId="5" fillId="2" borderId="0" xfId="0" applyFont="1" applyFill="1"/>
    <xf numFmtId="2" fontId="5" fillId="2" borderId="0" xfId="0" applyNumberFormat="1" applyFont="1" applyFill="1"/>
    <xf numFmtId="0" fontId="5" fillId="2" borderId="0" xfId="0" applyFont="1" applyFill="1" applyAlignment="1">
      <alignment horizontal="center"/>
    </xf>
    <xf numFmtId="0" fontId="4" fillId="2" borderId="0" xfId="0" applyFont="1" applyFill="1" applyAlignment="1">
      <alignment horizontal="center" wrapText="1"/>
    </xf>
    <xf numFmtId="0" fontId="5" fillId="2" borderId="0" xfId="0" applyFont="1" applyFill="1" applyAlignment="1">
      <alignment horizontal="justify" wrapText="1"/>
    </xf>
    <xf numFmtId="0" fontId="5" fillId="2" borderId="0" xfId="0" applyFont="1" applyFill="1" applyAlignment="1">
      <alignment horizontal="center" wrapText="1"/>
    </xf>
    <xf numFmtId="0" fontId="4" fillId="2" borderId="1" xfId="0" applyFont="1" applyFill="1" applyBorder="1" applyAlignment="1">
      <alignment horizontal="center" wrapText="1"/>
    </xf>
    <xf numFmtId="0" fontId="4" fillId="2" borderId="2" xfId="0" applyFont="1" applyFill="1" applyBorder="1"/>
    <xf numFmtId="0" fontId="5" fillId="2" borderId="2" xfId="0" applyFont="1" applyFill="1" applyBorder="1"/>
    <xf numFmtId="0" fontId="9" fillId="2" borderId="2" xfId="0" applyFont="1" applyFill="1" applyBorder="1"/>
    <xf numFmtId="0" fontId="11" fillId="3" borderId="3" xfId="0" applyFont="1" applyFill="1" applyBorder="1" applyAlignment="1">
      <alignment horizontal="center" wrapText="1"/>
    </xf>
    <xf numFmtId="0" fontId="12" fillId="3" borderId="3" xfId="0" applyFont="1" applyFill="1" applyBorder="1" applyAlignment="1">
      <alignment horizontal="center" wrapText="1"/>
    </xf>
    <xf numFmtId="0" fontId="11" fillId="3" borderId="4" xfId="0" applyFont="1" applyFill="1" applyBorder="1" applyAlignment="1">
      <alignment horizontal="center" wrapText="1"/>
    </xf>
    <xf numFmtId="0" fontId="12" fillId="3" borderId="5" xfId="0" applyFont="1" applyFill="1" applyBorder="1" applyAlignment="1">
      <alignment horizontal="center" wrapText="1"/>
    </xf>
    <xf numFmtId="0" fontId="13" fillId="2" borderId="3" xfId="0" applyFont="1" applyFill="1" applyBorder="1" applyAlignment="1">
      <alignment horizontal="center" wrapText="1"/>
    </xf>
    <xf numFmtId="0" fontId="13" fillId="2" borderId="4" xfId="0" applyFont="1" applyFill="1" applyBorder="1" applyAlignment="1">
      <alignment horizontal="center" wrapText="1"/>
    </xf>
    <xf numFmtId="0" fontId="13" fillId="2" borderId="5" xfId="0" applyFont="1" applyFill="1" applyBorder="1" applyAlignment="1">
      <alignment horizontal="center" wrapText="1"/>
    </xf>
    <xf numFmtId="0" fontId="15" fillId="2" borderId="0" xfId="0" applyFont="1" applyFill="1"/>
    <xf numFmtId="0" fontId="9" fillId="2" borderId="0" xfId="0" applyFont="1" applyFill="1"/>
    <xf numFmtId="0" fontId="4" fillId="3" borderId="6" xfId="0" applyFont="1" applyFill="1" applyBorder="1"/>
    <xf numFmtId="0" fontId="5" fillId="2" borderId="0" xfId="0" applyFont="1" applyFill="1" applyAlignment="1">
      <alignment vertical="top" wrapText="1"/>
    </xf>
    <xf numFmtId="0" fontId="5" fillId="2" borderId="0" xfId="0" applyFont="1" applyFill="1" applyAlignment="1">
      <alignment wrapText="1"/>
    </xf>
    <xf numFmtId="0" fontId="4" fillId="2" borderId="0" xfId="0" applyFont="1" applyFill="1" applyAlignment="1">
      <alignment horizontal="left"/>
    </xf>
    <xf numFmtId="0" fontId="5" fillId="3" borderId="7" xfId="0" applyFont="1" applyFill="1" applyBorder="1" applyProtection="1">
      <protection locked="0"/>
    </xf>
    <xf numFmtId="2" fontId="5" fillId="3" borderId="8" xfId="0" applyNumberFormat="1" applyFont="1" applyFill="1" applyBorder="1"/>
    <xf numFmtId="0" fontId="9" fillId="2" borderId="0" xfId="0" applyFont="1" applyFill="1" applyProtection="1">
      <protection locked="0"/>
    </xf>
    <xf numFmtId="43" fontId="5" fillId="2" borderId="0" xfId="1" applyFont="1" applyFill="1"/>
    <xf numFmtId="0" fontId="4" fillId="2" borderId="9" xfId="0" applyFont="1" applyFill="1" applyBorder="1" applyAlignment="1">
      <alignment horizontal="center" wrapText="1"/>
    </xf>
    <xf numFmtId="0" fontId="4" fillId="2" borderId="2" xfId="0" applyFont="1" applyFill="1" applyBorder="1" applyAlignment="1">
      <alignment horizontal="center"/>
    </xf>
    <xf numFmtId="0" fontId="4" fillId="2" borderId="0" xfId="0" applyFont="1" applyFill="1" applyAlignment="1">
      <alignment horizontal="center"/>
    </xf>
    <xf numFmtId="0" fontId="10" fillId="2" borderId="0" xfId="0" applyFont="1" applyFill="1" applyAlignment="1">
      <alignment horizontal="center"/>
    </xf>
    <xf numFmtId="0" fontId="5" fillId="2" borderId="0" xfId="0" applyFont="1" applyFill="1" applyAlignment="1">
      <alignment horizontal="center" vertical="top" wrapText="1"/>
    </xf>
    <xf numFmtId="2" fontId="5" fillId="2" borderId="2" xfId="0" applyNumberFormat="1" applyFont="1" applyFill="1" applyBorder="1"/>
    <xf numFmtId="0" fontId="4" fillId="4" borderId="6" xfId="0" applyFont="1" applyFill="1" applyBorder="1"/>
    <xf numFmtId="0" fontId="5" fillId="4" borderId="6" xfId="0" applyFont="1" applyFill="1" applyBorder="1"/>
    <xf numFmtId="0" fontId="4" fillId="5" borderId="6" xfId="0" applyFont="1" applyFill="1" applyBorder="1"/>
    <xf numFmtId="0" fontId="5" fillId="5" borderId="6" xfId="0" applyFont="1" applyFill="1" applyBorder="1"/>
    <xf numFmtId="0" fontId="4" fillId="2" borderId="10" xfId="0" applyFont="1" applyFill="1" applyBorder="1" applyAlignment="1">
      <alignment horizontal="center" wrapText="1"/>
    </xf>
    <xf numFmtId="0" fontId="5" fillId="2" borderId="10" xfId="0" applyFont="1" applyFill="1" applyBorder="1"/>
    <xf numFmtId="0" fontId="4" fillId="2" borderId="9" xfId="0" applyFont="1" applyFill="1" applyBorder="1"/>
    <xf numFmtId="0" fontId="16" fillId="2" borderId="0" xfId="0" applyFont="1" applyFill="1"/>
    <xf numFmtId="2" fontId="5" fillId="2" borderId="0" xfId="0" applyNumberFormat="1" applyFont="1" applyFill="1" applyAlignment="1">
      <alignment horizontal="center"/>
    </xf>
    <xf numFmtId="0" fontId="4" fillId="2" borderId="0" xfId="0" applyFont="1" applyFill="1" applyAlignment="1">
      <alignment horizontal="center" vertical="center" wrapText="1"/>
    </xf>
    <xf numFmtId="2" fontId="4" fillId="2" borderId="0" xfId="0" applyNumberFormat="1" applyFont="1" applyFill="1"/>
    <xf numFmtId="0" fontId="4" fillId="2" borderId="6" xfId="0" applyFont="1" applyFill="1" applyBorder="1"/>
    <xf numFmtId="2" fontId="5" fillId="3" borderId="7" xfId="0" applyNumberFormat="1" applyFont="1" applyFill="1" applyBorder="1"/>
    <xf numFmtId="0" fontId="5" fillId="2" borderId="2" xfId="0" applyFont="1" applyFill="1" applyBorder="1" applyAlignment="1">
      <alignment vertical="top" wrapText="1"/>
    </xf>
    <xf numFmtId="0" fontId="5" fillId="3" borderId="11" xfId="0" applyFont="1" applyFill="1" applyBorder="1" applyProtection="1">
      <protection locked="0"/>
    </xf>
    <xf numFmtId="0" fontId="17" fillId="2" borderId="0" xfId="0" applyFont="1" applyFill="1"/>
    <xf numFmtId="0" fontId="5" fillId="2" borderId="6" xfId="0" applyFont="1" applyFill="1" applyBorder="1"/>
    <xf numFmtId="0" fontId="17" fillId="2" borderId="6" xfId="0" applyFont="1" applyFill="1" applyBorder="1" applyAlignment="1">
      <alignment horizontal="center"/>
    </xf>
    <xf numFmtId="0" fontId="17" fillId="2" borderId="0" xfId="0" applyFont="1" applyFill="1" applyAlignment="1" applyProtection="1">
      <alignment horizontal="center"/>
      <protection locked="0"/>
    </xf>
    <xf numFmtId="0" fontId="17" fillId="2" borderId="0" xfId="0" applyFont="1" applyFill="1" applyAlignment="1">
      <alignment horizontal="center"/>
    </xf>
    <xf numFmtId="1" fontId="5" fillId="3" borderId="8" xfId="0" applyNumberFormat="1" applyFont="1" applyFill="1" applyBorder="1"/>
    <xf numFmtId="0" fontId="5" fillId="2" borderId="1" xfId="0" applyFont="1" applyFill="1" applyBorder="1"/>
    <xf numFmtId="168" fontId="16" fillId="2" borderId="0" xfId="3" applyNumberFormat="1" applyFont="1" applyFill="1"/>
    <xf numFmtId="0" fontId="17" fillId="2" borderId="6" xfId="0" applyFont="1" applyFill="1" applyBorder="1"/>
    <xf numFmtId="2" fontId="5" fillId="2" borderId="2" xfId="0" applyNumberFormat="1" applyFont="1" applyFill="1" applyBorder="1" applyAlignment="1">
      <alignment horizontal="center"/>
    </xf>
    <xf numFmtId="165" fontId="17" fillId="2" borderId="0" xfId="0" applyNumberFormat="1" applyFont="1" applyFill="1"/>
    <xf numFmtId="0" fontId="10" fillId="2" borderId="0" xfId="0" applyFont="1" applyFill="1" applyProtection="1">
      <protection locked="0"/>
    </xf>
    <xf numFmtId="2" fontId="9" fillId="2" borderId="0" xfId="0" applyNumberFormat="1" applyFont="1" applyFill="1"/>
    <xf numFmtId="1" fontId="9" fillId="2" borderId="0" xfId="0" applyNumberFormat="1" applyFont="1" applyFill="1"/>
    <xf numFmtId="165" fontId="9" fillId="2" borderId="0" xfId="0" applyNumberFormat="1" applyFont="1" applyFill="1"/>
    <xf numFmtId="168" fontId="5" fillId="2" borderId="0" xfId="3" applyNumberFormat="1" applyFont="1" applyFill="1" applyBorder="1"/>
    <xf numFmtId="0" fontId="17" fillId="2" borderId="2" xfId="0" applyFont="1" applyFill="1" applyBorder="1"/>
    <xf numFmtId="2" fontId="9" fillId="2" borderId="0" xfId="0" applyNumberFormat="1" applyFont="1" applyFill="1" applyAlignment="1">
      <alignment horizontal="center"/>
    </xf>
    <xf numFmtId="165" fontId="9" fillId="2" borderId="0" xfId="0" applyNumberFormat="1" applyFont="1" applyFill="1" applyAlignment="1">
      <alignment horizontal="center"/>
    </xf>
    <xf numFmtId="0" fontId="17" fillId="2" borderId="2" xfId="0" applyFont="1" applyFill="1" applyBorder="1" applyAlignment="1" applyProtection="1">
      <alignment horizontal="center"/>
      <protection locked="0"/>
    </xf>
    <xf numFmtId="0" fontId="4" fillId="2" borderId="0" xfId="0" applyFont="1" applyFill="1" applyAlignment="1">
      <alignment horizontal="right"/>
    </xf>
    <xf numFmtId="165" fontId="9" fillId="2" borderId="2" xfId="0" applyNumberFormat="1" applyFont="1" applyFill="1" applyBorder="1"/>
    <xf numFmtId="168" fontId="9" fillId="2" borderId="2" xfId="0" applyNumberFormat="1" applyFont="1" applyFill="1" applyBorder="1"/>
    <xf numFmtId="170" fontId="20" fillId="2" borderId="2" xfId="0" applyNumberFormat="1" applyFont="1" applyFill="1" applyBorder="1"/>
    <xf numFmtId="0" fontId="20" fillId="2" borderId="2" xfId="0" applyFont="1" applyFill="1" applyBorder="1"/>
    <xf numFmtId="0" fontId="4" fillId="2" borderId="13" xfId="0" applyFont="1" applyFill="1" applyBorder="1"/>
    <xf numFmtId="0" fontId="4" fillId="2" borderId="13" xfId="0" applyFont="1" applyFill="1" applyBorder="1" applyAlignment="1">
      <alignment horizontal="right"/>
    </xf>
    <xf numFmtId="167" fontId="17" fillId="2" borderId="0" xfId="0" applyNumberFormat="1" applyFont="1" applyFill="1"/>
    <xf numFmtId="9" fontId="17" fillId="2" borderId="0" xfId="3" applyFont="1" applyFill="1"/>
    <xf numFmtId="14" fontId="5" fillId="2" borderId="0" xfId="0" applyNumberFormat="1" applyFont="1" applyFill="1"/>
    <xf numFmtId="0" fontId="5" fillId="2" borderId="8" xfId="0" applyFont="1" applyFill="1" applyBorder="1"/>
    <xf numFmtId="0" fontId="10" fillId="6" borderId="14" xfId="0" applyFont="1" applyFill="1" applyBorder="1"/>
    <xf numFmtId="0" fontId="10" fillId="6" borderId="15" xfId="0" applyFont="1" applyFill="1" applyBorder="1"/>
    <xf numFmtId="0" fontId="10" fillId="6" borderId="16" xfId="0" applyFont="1" applyFill="1" applyBorder="1" applyAlignment="1">
      <alignment horizontal="right"/>
    </xf>
    <xf numFmtId="0" fontId="5" fillId="4" borderId="0" xfId="0" applyFont="1" applyFill="1" applyAlignment="1">
      <alignment horizontal="left" vertical="top" wrapText="1"/>
    </xf>
    <xf numFmtId="0" fontId="5" fillId="4" borderId="17" xfId="0" applyFont="1" applyFill="1" applyBorder="1" applyAlignment="1">
      <alignment horizontal="left" vertical="top" wrapText="1"/>
    </xf>
    <xf numFmtId="0" fontId="0" fillId="2" borderId="0" xfId="0" applyFill="1"/>
    <xf numFmtId="0" fontId="4" fillId="4" borderId="18" xfId="0" applyFont="1" applyFill="1" applyBorder="1"/>
    <xf numFmtId="0" fontId="4" fillId="4" borderId="0" xfId="0" applyFont="1" applyFill="1"/>
    <xf numFmtId="0" fontId="5" fillId="4" borderId="0" xfId="0" applyFont="1" applyFill="1"/>
    <xf numFmtId="0" fontId="5" fillId="4" borderId="17" xfId="0" applyFont="1" applyFill="1" applyBorder="1"/>
    <xf numFmtId="0" fontId="2" fillId="4" borderId="18" xfId="2" applyFill="1" applyBorder="1" applyAlignment="1" applyProtection="1"/>
    <xf numFmtId="0" fontId="5" fillId="4" borderId="18" xfId="0" applyFont="1" applyFill="1" applyBorder="1"/>
    <xf numFmtId="0" fontId="2" fillId="4" borderId="19" xfId="2" applyFill="1" applyBorder="1" applyAlignment="1" applyProtection="1"/>
    <xf numFmtId="0" fontId="2" fillId="4" borderId="20" xfId="2" applyFill="1" applyBorder="1" applyAlignment="1" applyProtection="1"/>
    <xf numFmtId="0" fontId="5" fillId="4" borderId="20" xfId="0" applyFont="1" applyFill="1" applyBorder="1"/>
    <xf numFmtId="0" fontId="5" fillId="4" borderId="21" xfId="0" applyFont="1" applyFill="1" applyBorder="1"/>
    <xf numFmtId="0" fontId="9" fillId="6" borderId="15" xfId="0" applyFont="1" applyFill="1" applyBorder="1"/>
    <xf numFmtId="0" fontId="9" fillId="6" borderId="16" xfId="0" applyFont="1" applyFill="1" applyBorder="1"/>
    <xf numFmtId="0" fontId="1" fillId="3" borderId="18" xfId="0" applyFont="1" applyFill="1" applyBorder="1"/>
    <xf numFmtId="0" fontId="1" fillId="3" borderId="0" xfId="0" applyFont="1" applyFill="1"/>
    <xf numFmtId="0" fontId="5" fillId="3" borderId="0" xfId="0" applyFont="1" applyFill="1"/>
    <xf numFmtId="0" fontId="5" fillId="3" borderId="17" xfId="0" applyFont="1" applyFill="1" applyBorder="1"/>
    <xf numFmtId="0" fontId="5" fillId="3" borderId="18" xfId="0" applyFont="1" applyFill="1" applyBorder="1"/>
    <xf numFmtId="0" fontId="22" fillId="3" borderId="0" xfId="2" applyFont="1" applyFill="1" applyBorder="1" applyAlignment="1" applyProtection="1"/>
    <xf numFmtId="0" fontId="23" fillId="3" borderId="18" xfId="0" applyFont="1" applyFill="1" applyBorder="1"/>
    <xf numFmtId="0" fontId="23" fillId="3" borderId="0" xfId="0" applyFont="1" applyFill="1"/>
    <xf numFmtId="167" fontId="17" fillId="2" borderId="6" xfId="0" applyNumberFormat="1" applyFont="1" applyFill="1" applyBorder="1"/>
    <xf numFmtId="168" fontId="17" fillId="2" borderId="6" xfId="0" applyNumberFormat="1" applyFont="1" applyFill="1" applyBorder="1"/>
    <xf numFmtId="0" fontId="9" fillId="2" borderId="0" xfId="0" applyFont="1" applyFill="1" applyAlignment="1">
      <alignment vertical="top" wrapText="1"/>
    </xf>
    <xf numFmtId="166" fontId="5" fillId="2" borderId="2" xfId="0" applyNumberFormat="1" applyFont="1" applyFill="1" applyBorder="1"/>
    <xf numFmtId="0" fontId="24" fillId="2" borderId="0" xfId="0" applyFont="1" applyFill="1" applyAlignment="1">
      <alignment horizontal="center"/>
    </xf>
    <xf numFmtId="2" fontId="17" fillId="2" borderId="0" xfId="0" applyNumberFormat="1" applyFont="1" applyFill="1"/>
    <xf numFmtId="2" fontId="17" fillId="2" borderId="6" xfId="0" applyNumberFormat="1" applyFont="1" applyFill="1" applyBorder="1"/>
    <xf numFmtId="169" fontId="17" fillId="2" borderId="6" xfId="0" applyNumberFormat="1" applyFont="1" applyFill="1" applyBorder="1"/>
    <xf numFmtId="165" fontId="17" fillId="2" borderId="6" xfId="0" applyNumberFormat="1" applyFont="1" applyFill="1" applyBorder="1"/>
    <xf numFmtId="0" fontId="4" fillId="2" borderId="0" xfId="0" applyFont="1" applyFill="1" applyAlignment="1">
      <alignment vertical="top" wrapText="1"/>
    </xf>
    <xf numFmtId="166" fontId="17" fillId="2" borderId="12" xfId="0" applyNumberFormat="1" applyFont="1" applyFill="1" applyBorder="1" applyAlignment="1">
      <alignment horizontal="center" vertical="top" wrapText="1"/>
    </xf>
    <xf numFmtId="0" fontId="4" fillId="2" borderId="0" xfId="0" applyFont="1" applyFill="1" applyAlignment="1">
      <alignment horizontal="center" vertical="top" wrapText="1"/>
    </xf>
    <xf numFmtId="166" fontId="17" fillId="2" borderId="0" xfId="0" applyNumberFormat="1" applyFont="1" applyFill="1" applyAlignment="1">
      <alignment horizontal="center" vertical="top" wrapText="1"/>
    </xf>
    <xf numFmtId="2" fontId="17" fillId="2" borderId="6" xfId="0" applyNumberFormat="1" applyFont="1" applyFill="1" applyBorder="1" applyAlignment="1">
      <alignment horizontal="center"/>
    </xf>
    <xf numFmtId="0" fontId="4" fillId="4" borderId="8" xfId="0" applyFont="1" applyFill="1" applyBorder="1"/>
    <xf numFmtId="2" fontId="0" fillId="3" borderId="7" xfId="0" applyNumberFormat="1" applyFill="1" applyBorder="1"/>
    <xf numFmtId="0" fontId="28" fillId="2" borderId="0" xfId="0" applyFont="1" applyFill="1"/>
    <xf numFmtId="0" fontId="4" fillId="7" borderId="0" xfId="0" applyFont="1" applyFill="1"/>
    <xf numFmtId="0" fontId="5" fillId="7" borderId="0" xfId="0" applyFont="1" applyFill="1"/>
    <xf numFmtId="0" fontId="0" fillId="7" borderId="0" xfId="0" applyFill="1"/>
    <xf numFmtId="0" fontId="16" fillId="7" borderId="0" xfId="0" applyFont="1" applyFill="1"/>
    <xf numFmtId="0" fontId="28" fillId="7" borderId="0" xfId="0" applyFont="1" applyFill="1"/>
    <xf numFmtId="168" fontId="16" fillId="7" borderId="0" xfId="3" applyNumberFormat="1" applyFont="1" applyFill="1" applyBorder="1"/>
    <xf numFmtId="43" fontId="5" fillId="7" borderId="0" xfId="1" applyFont="1" applyFill="1" applyBorder="1"/>
    <xf numFmtId="0" fontId="1" fillId="2" borderId="0" xfId="0" applyFont="1" applyFill="1"/>
    <xf numFmtId="0" fontId="1" fillId="2" borderId="1" xfId="0" applyFont="1" applyFill="1" applyBorder="1" applyAlignment="1">
      <alignment horizontal="center" wrapText="1"/>
    </xf>
    <xf numFmtId="167" fontId="1" fillId="2" borderId="0" xfId="0" applyNumberFormat="1" applyFont="1" applyFill="1" applyAlignment="1">
      <alignment horizontal="center"/>
    </xf>
    <xf numFmtId="167" fontId="1" fillId="2" borderId="2" xfId="0" applyNumberFormat="1" applyFont="1" applyFill="1" applyBorder="1" applyAlignment="1">
      <alignment horizontal="center"/>
    </xf>
    <xf numFmtId="168" fontId="17" fillId="2" borderId="0" xfId="0" applyNumberFormat="1" applyFont="1" applyFill="1"/>
    <xf numFmtId="0" fontId="1" fillId="7" borderId="0" xfId="0" applyFont="1" applyFill="1"/>
    <xf numFmtId="166" fontId="17" fillId="2" borderId="2" xfId="0" applyNumberFormat="1" applyFont="1" applyFill="1" applyBorder="1" applyAlignment="1">
      <alignment vertical="top" wrapText="1"/>
    </xf>
    <xf numFmtId="0" fontId="0" fillId="3" borderId="18" xfId="0" applyFill="1" applyBorder="1"/>
    <xf numFmtId="0" fontId="0" fillId="3" borderId="0" xfId="0" applyFill="1"/>
    <xf numFmtId="0" fontId="4" fillId="4" borderId="7" xfId="0" applyFont="1" applyFill="1" applyBorder="1"/>
    <xf numFmtId="0" fontId="17" fillId="2" borderId="2" xfId="0" applyFont="1" applyFill="1" applyBorder="1" applyAlignment="1">
      <alignment horizontal="center"/>
    </xf>
    <xf numFmtId="0" fontId="4" fillId="2" borderId="12" xfId="0" applyFont="1" applyFill="1" applyBorder="1" applyAlignment="1">
      <alignment horizontal="center"/>
    </xf>
    <xf numFmtId="0" fontId="1" fillId="2" borderId="0" xfId="0" applyFont="1" applyFill="1" applyAlignment="1">
      <alignment horizontal="center" wrapText="1"/>
    </xf>
    <xf numFmtId="0" fontId="1" fillId="2" borderId="0" xfId="0" applyFont="1" applyFill="1" applyAlignment="1">
      <alignment horizontal="left" wrapText="1"/>
    </xf>
    <xf numFmtId="0" fontId="1" fillId="2" borderId="0" xfId="0" applyFont="1" applyFill="1" applyAlignment="1">
      <alignment horizontal="center"/>
    </xf>
    <xf numFmtId="0" fontId="1" fillId="2" borderId="2" xfId="0" applyFont="1" applyFill="1" applyBorder="1"/>
    <xf numFmtId="0" fontId="15" fillId="2" borderId="0" xfId="0" applyFont="1" applyFill="1" applyAlignment="1">
      <alignment horizontal="center"/>
    </xf>
    <xf numFmtId="0" fontId="4" fillId="3" borderId="12" xfId="0" applyFont="1" applyFill="1" applyBorder="1"/>
    <xf numFmtId="2" fontId="1" fillId="2" borderId="0" xfId="0" applyNumberFormat="1" applyFont="1" applyFill="1"/>
    <xf numFmtId="9" fontId="17" fillId="2" borderId="0" xfId="4" applyFont="1" applyFill="1"/>
    <xf numFmtId="0" fontId="1" fillId="2" borderId="0" xfId="0" applyFont="1" applyFill="1" applyAlignment="1">
      <alignment horizontal="left"/>
    </xf>
    <xf numFmtId="2" fontId="1" fillId="2" borderId="2" xfId="0" applyNumberFormat="1" applyFont="1" applyFill="1" applyBorder="1" applyAlignment="1">
      <alignment horizontal="center"/>
    </xf>
    <xf numFmtId="0" fontId="20" fillId="2" borderId="0" xfId="0" applyFont="1" applyFill="1"/>
    <xf numFmtId="2" fontId="1" fillId="2" borderId="0" xfId="0" applyNumberFormat="1" applyFont="1" applyFill="1" applyAlignment="1">
      <alignment horizontal="center"/>
    </xf>
    <xf numFmtId="0" fontId="21" fillId="2" borderId="0" xfId="0" applyFont="1" applyFill="1"/>
    <xf numFmtId="168" fontId="1" fillId="2" borderId="0" xfId="3" applyNumberFormat="1" applyFont="1" applyFill="1" applyBorder="1"/>
    <xf numFmtId="0" fontId="1" fillId="2" borderId="6" xfId="0" applyFont="1" applyFill="1" applyBorder="1"/>
    <xf numFmtId="2" fontId="4" fillId="7" borderId="0" xfId="0" applyNumberFormat="1" applyFont="1" applyFill="1"/>
    <xf numFmtId="2" fontId="4" fillId="2" borderId="0" xfId="0" applyNumberFormat="1" applyFont="1" applyFill="1" applyAlignment="1">
      <alignment horizontal="center"/>
    </xf>
    <xf numFmtId="0" fontId="1" fillId="2" borderId="0" xfId="0" applyFont="1" applyFill="1" applyAlignment="1">
      <alignment vertical="top" wrapText="1"/>
    </xf>
    <xf numFmtId="0" fontId="1" fillId="2" borderId="0" xfId="0" applyFont="1" applyFill="1" applyAlignment="1">
      <alignment horizontal="justify" wrapText="1"/>
    </xf>
    <xf numFmtId="0" fontId="4" fillId="2" borderId="0" xfId="0" applyFont="1" applyFill="1" applyAlignment="1">
      <alignment wrapText="1"/>
    </xf>
    <xf numFmtId="0" fontId="1" fillId="2" borderId="0" xfId="0" applyFont="1" applyFill="1" applyAlignment="1">
      <alignment horizontal="left" vertical="top" wrapText="1"/>
    </xf>
    <xf numFmtId="167" fontId="17" fillId="2" borderId="2" xfId="0" applyNumberFormat="1" applyFont="1" applyFill="1" applyBorder="1" applyAlignment="1">
      <alignment horizontal="center"/>
    </xf>
    <xf numFmtId="2" fontId="1" fillId="7" borderId="0" xfId="0" applyNumberFormat="1" applyFont="1" applyFill="1"/>
    <xf numFmtId="0" fontId="17" fillId="7" borderId="0" xfId="0" applyFont="1" applyFill="1" applyAlignment="1">
      <alignment horizontal="center"/>
    </xf>
    <xf numFmtId="0" fontId="17" fillId="2" borderId="0" xfId="0" applyFont="1" applyFill="1" applyAlignment="1">
      <alignment horizontal="left"/>
    </xf>
    <xf numFmtId="0" fontId="17" fillId="2" borderId="12" xfId="0" applyFont="1" applyFill="1" applyBorder="1" applyAlignment="1">
      <alignment horizontal="center"/>
    </xf>
    <xf numFmtId="0" fontId="17" fillId="2" borderId="12" xfId="0" applyFont="1" applyFill="1" applyBorder="1" applyAlignment="1" applyProtection="1">
      <alignment horizontal="center"/>
      <protection locked="0"/>
    </xf>
    <xf numFmtId="0" fontId="17" fillId="2" borderId="12" xfId="0" applyFont="1" applyFill="1" applyBorder="1"/>
    <xf numFmtId="2" fontId="1" fillId="3" borderId="8" xfId="0" applyNumberFormat="1" applyFont="1" applyFill="1" applyBorder="1"/>
    <xf numFmtId="0" fontId="1" fillId="2" borderId="2" xfId="0" applyFont="1" applyFill="1" applyBorder="1" applyAlignment="1">
      <alignment horizontal="center"/>
    </xf>
    <xf numFmtId="166" fontId="17" fillId="2" borderId="0" xfId="0" applyNumberFormat="1" applyFont="1" applyFill="1" applyAlignment="1">
      <alignment vertical="top" wrapText="1"/>
    </xf>
    <xf numFmtId="0" fontId="17" fillId="2" borderId="0" xfId="0" applyFont="1" applyFill="1" applyAlignment="1">
      <alignment horizontal="center" vertical="top" wrapText="1"/>
    </xf>
    <xf numFmtId="0" fontId="1" fillId="2" borderId="8" xfId="0" applyFont="1" applyFill="1" applyBorder="1"/>
    <xf numFmtId="0" fontId="1" fillId="2" borderId="0" xfId="0" applyFont="1" applyFill="1" applyAlignment="1">
      <alignment horizontal="center" vertical="top" wrapText="1"/>
    </xf>
    <xf numFmtId="0" fontId="1" fillId="3" borderId="7" xfId="0" applyFont="1" applyFill="1" applyBorder="1" applyProtection="1">
      <protection locked="0"/>
    </xf>
    <xf numFmtId="0" fontId="1" fillId="3" borderId="11" xfId="0" applyFont="1" applyFill="1" applyBorder="1" applyProtection="1">
      <protection locked="0"/>
    </xf>
    <xf numFmtId="0" fontId="11" fillId="2" borderId="0" xfId="0" applyFont="1" applyFill="1" applyAlignment="1">
      <alignment horizontal="center" wrapText="1"/>
    </xf>
    <xf numFmtId="170" fontId="1" fillId="2" borderId="0" xfId="1" applyNumberFormat="1" applyFont="1" applyFill="1" applyBorder="1"/>
    <xf numFmtId="0" fontId="12" fillId="2" borderId="0" xfId="0" applyFont="1" applyFill="1" applyAlignment="1">
      <alignment horizontal="center" wrapText="1"/>
    </xf>
    <xf numFmtId="0" fontId="13" fillId="2" borderId="0" xfId="0" applyFont="1" applyFill="1" applyAlignment="1">
      <alignment horizontal="center" wrapText="1"/>
    </xf>
    <xf numFmtId="0" fontId="4" fillId="2" borderId="12" xfId="0" applyFont="1" applyFill="1" applyBorder="1"/>
    <xf numFmtId="43" fontId="1" fillId="2" borderId="0" xfId="1" applyFont="1" applyFill="1" applyBorder="1"/>
    <xf numFmtId="0" fontId="20" fillId="2" borderId="0" xfId="0" applyFont="1" applyFill="1" applyAlignment="1">
      <alignment horizontal="center"/>
    </xf>
    <xf numFmtId="2" fontId="20" fillId="2" borderId="0" xfId="0" applyNumberFormat="1" applyFont="1" applyFill="1" applyAlignment="1">
      <alignment horizontal="center"/>
    </xf>
    <xf numFmtId="0" fontId="21" fillId="2" borderId="0" xfId="0" applyFont="1" applyFill="1" applyAlignment="1">
      <alignment horizontal="center"/>
    </xf>
    <xf numFmtId="170" fontId="20" fillId="2" borderId="0" xfId="0" applyNumberFormat="1" applyFont="1" applyFill="1"/>
    <xf numFmtId="168" fontId="9" fillId="2" borderId="0" xfId="0" applyNumberFormat="1" applyFont="1" applyFill="1"/>
    <xf numFmtId="0" fontId="1" fillId="2" borderId="0" xfId="0" applyFont="1" applyFill="1" applyAlignment="1">
      <alignment wrapText="1"/>
    </xf>
    <xf numFmtId="0" fontId="17" fillId="7" borderId="0" xfId="0" applyFont="1" applyFill="1"/>
    <xf numFmtId="0" fontId="17" fillId="2" borderId="0" xfId="5" applyFont="1" applyFill="1"/>
    <xf numFmtId="0" fontId="1" fillId="2" borderId="0" xfId="5" applyFill="1"/>
    <xf numFmtId="0" fontId="17" fillId="2" borderId="2" xfId="5" applyFont="1" applyFill="1" applyBorder="1"/>
    <xf numFmtId="166" fontId="17" fillId="2" borderId="0" xfId="0" applyNumberFormat="1" applyFont="1" applyFill="1"/>
    <xf numFmtId="171" fontId="17" fillId="2" borderId="12" xfId="0" applyNumberFormat="1" applyFont="1" applyFill="1" applyBorder="1" applyAlignment="1">
      <alignment vertical="top" wrapText="1"/>
    </xf>
    <xf numFmtId="171" fontId="17" fillId="2" borderId="0" xfId="0" applyNumberFormat="1" applyFont="1" applyFill="1" applyAlignment="1">
      <alignment vertical="top" wrapText="1"/>
    </xf>
    <xf numFmtId="0" fontId="16" fillId="2" borderId="0" xfId="0" applyFont="1" applyFill="1" applyAlignment="1">
      <alignment horizontal="left"/>
    </xf>
    <xf numFmtId="2" fontId="0" fillId="7" borderId="0" xfId="0" applyNumberFormat="1" applyFill="1"/>
    <xf numFmtId="168" fontId="5" fillId="2" borderId="0" xfId="0" applyNumberFormat="1" applyFont="1" applyFill="1"/>
    <xf numFmtId="0" fontId="33" fillId="2" borderId="0" xfId="0" applyFont="1" applyFill="1"/>
    <xf numFmtId="0" fontId="34" fillId="7" borderId="6" xfId="5" applyFont="1" applyFill="1" applyBorder="1" applyAlignment="1">
      <alignment wrapText="1"/>
    </xf>
    <xf numFmtId="0" fontId="35" fillId="7" borderId="0" xfId="5" applyFont="1" applyFill="1"/>
    <xf numFmtId="165" fontId="35" fillId="7" borderId="0" xfId="5" applyNumberFormat="1" applyFont="1" applyFill="1"/>
    <xf numFmtId="0" fontId="1" fillId="2" borderId="2" xfId="0" applyFont="1" applyFill="1" applyBorder="1" applyAlignment="1">
      <alignment horizontal="center"/>
    </xf>
    <xf numFmtId="0" fontId="4" fillId="2" borderId="13" xfId="0" applyFont="1" applyFill="1" applyBorder="1" applyAlignment="1">
      <alignment horizontal="right"/>
    </xf>
    <xf numFmtId="0" fontId="17" fillId="2" borderId="2" xfId="0" applyFont="1" applyFill="1" applyBorder="1" applyAlignment="1">
      <alignment horizontal="center"/>
    </xf>
    <xf numFmtId="0" fontId="4" fillId="3" borderId="6" xfId="0" applyFont="1" applyFill="1" applyBorder="1" applyAlignment="1">
      <alignment horizontal="left"/>
    </xf>
    <xf numFmtId="0" fontId="4" fillId="3" borderId="6" xfId="0" applyFont="1" applyFill="1" applyBorder="1" applyAlignment="1">
      <alignment horizontal="center"/>
    </xf>
    <xf numFmtId="0" fontId="1" fillId="2" borderId="12" xfId="0" applyFont="1" applyFill="1" applyBorder="1" applyAlignment="1">
      <alignment horizontal="center" vertical="top" wrapText="1"/>
    </xf>
    <xf numFmtId="0" fontId="1" fillId="2" borderId="0" xfId="0" applyFont="1" applyFill="1" applyAlignment="1">
      <alignment horizontal="center" vertical="top" wrapText="1"/>
    </xf>
    <xf numFmtId="0" fontId="1" fillId="3" borderId="8" xfId="0" applyFont="1" applyFill="1" applyBorder="1" applyAlignment="1">
      <alignment horizontal="center"/>
    </xf>
    <xf numFmtId="0" fontId="4" fillId="2" borderId="2" xfId="0" applyFont="1" applyFill="1" applyBorder="1" applyAlignment="1">
      <alignment horizontal="center"/>
    </xf>
    <xf numFmtId="0" fontId="4" fillId="2" borderId="12" xfId="0" applyFont="1" applyFill="1" applyBorder="1" applyAlignment="1">
      <alignment horizontal="center"/>
    </xf>
    <xf numFmtId="0" fontId="4" fillId="2" borderId="4" xfId="0" applyFont="1" applyFill="1" applyBorder="1" applyAlignment="1">
      <alignment horizontal="center"/>
    </xf>
    <xf numFmtId="0" fontId="1" fillId="3" borderId="8" xfId="0" applyFont="1" applyFill="1" applyBorder="1" applyAlignment="1" applyProtection="1">
      <alignment horizontal="center"/>
      <protection locked="0"/>
    </xf>
    <xf numFmtId="0" fontId="4" fillId="2" borderId="1" xfId="0" applyFont="1" applyFill="1" applyBorder="1" applyAlignment="1">
      <alignment horizontal="center"/>
    </xf>
    <xf numFmtId="2" fontId="4" fillId="5" borderId="6" xfId="0" applyNumberFormat="1" applyFont="1" applyFill="1" applyBorder="1" applyAlignment="1">
      <alignment horizontal="center"/>
    </xf>
    <xf numFmtId="0" fontId="4" fillId="2" borderId="20" xfId="0" applyFont="1" applyFill="1" applyBorder="1" applyAlignment="1">
      <alignment horizontal="center" wrapText="1"/>
    </xf>
    <xf numFmtId="0" fontId="4" fillId="2" borderId="9" xfId="0" applyFont="1" applyFill="1" applyBorder="1" applyAlignment="1">
      <alignment horizontal="center" wrapText="1"/>
    </xf>
    <xf numFmtId="164" fontId="4" fillId="2" borderId="25" xfId="0" applyNumberFormat="1" applyFont="1" applyFill="1" applyBorder="1" applyAlignment="1">
      <alignment horizontal="center" vertical="center" wrapText="1"/>
    </xf>
    <xf numFmtId="164" fontId="4" fillId="2" borderId="26" xfId="0" applyNumberFormat="1" applyFont="1" applyFill="1" applyBorder="1" applyAlignment="1">
      <alignment horizontal="center" vertical="center" wrapText="1"/>
    </xf>
    <xf numFmtId="0" fontId="17" fillId="2" borderId="0" xfId="0" applyFont="1" applyFill="1" applyAlignment="1">
      <alignment horizontal="center"/>
    </xf>
    <xf numFmtId="0" fontId="4" fillId="2" borderId="3" xfId="0" applyFont="1" applyFill="1" applyBorder="1" applyAlignment="1">
      <alignment horizontal="center" vertical="center" wrapText="1"/>
    </xf>
    <xf numFmtId="0" fontId="4" fillId="3" borderId="29" xfId="0" applyFont="1" applyFill="1" applyBorder="1" applyAlignment="1" applyProtection="1">
      <alignment horizontal="center" vertical="center" wrapText="1"/>
      <protection locked="0"/>
    </xf>
    <xf numFmtId="0" fontId="4" fillId="3" borderId="30" xfId="0" applyFont="1" applyFill="1" applyBorder="1" applyAlignment="1" applyProtection="1">
      <alignment horizontal="center" vertical="center" wrapText="1"/>
      <protection locked="0"/>
    </xf>
    <xf numFmtId="164" fontId="4" fillId="2" borderId="29" xfId="0" applyNumberFormat="1" applyFont="1" applyFill="1" applyBorder="1" applyAlignment="1">
      <alignment horizontal="center" vertical="center" wrapText="1"/>
    </xf>
    <xf numFmtId="164" fontId="4" fillId="2" borderId="30" xfId="0" applyNumberFormat="1" applyFont="1" applyFill="1" applyBorder="1" applyAlignment="1">
      <alignment horizontal="center" vertical="center" wrapText="1"/>
    </xf>
    <xf numFmtId="0" fontId="17" fillId="2" borderId="6" xfId="0" applyFont="1" applyFill="1" applyBorder="1" applyAlignment="1">
      <alignment horizontal="center"/>
    </xf>
    <xf numFmtId="0" fontId="4" fillId="3" borderId="27" xfId="0" applyFont="1" applyFill="1" applyBorder="1" applyAlignment="1" applyProtection="1">
      <alignment horizontal="center" vertical="center" wrapText="1"/>
      <protection locked="0"/>
    </xf>
    <xf numFmtId="0" fontId="4" fillId="3" borderId="26" xfId="0" applyFont="1" applyFill="1" applyBorder="1" applyAlignment="1" applyProtection="1">
      <alignment horizontal="center" vertical="center" wrapText="1"/>
      <protection locked="0"/>
    </xf>
    <xf numFmtId="0" fontId="4" fillId="3" borderId="25" xfId="0" applyFont="1" applyFill="1" applyBorder="1" applyAlignment="1" applyProtection="1">
      <alignment horizontal="center" vertical="center" wrapText="1"/>
      <protection locked="0"/>
    </xf>
    <xf numFmtId="0" fontId="4" fillId="2" borderId="27" xfId="0" applyFont="1" applyFill="1" applyBorder="1" applyAlignment="1">
      <alignment horizontal="center" vertical="center" wrapText="1"/>
    </xf>
    <xf numFmtId="0" fontId="4" fillId="2" borderId="26" xfId="0" applyFont="1" applyFill="1" applyBorder="1" applyAlignment="1">
      <alignment horizontal="center" vertical="center" wrapText="1"/>
    </xf>
    <xf numFmtId="2" fontId="10" fillId="2" borderId="0" xfId="0" applyNumberFormat="1" applyFont="1" applyFill="1" applyAlignment="1">
      <alignment horizontal="center"/>
    </xf>
    <xf numFmtId="0" fontId="10" fillId="2" borderId="0" xfId="0" applyFont="1" applyFill="1" applyAlignment="1">
      <alignment horizontal="center"/>
    </xf>
    <xf numFmtId="2" fontId="9" fillId="2" borderId="12" xfId="0" applyNumberFormat="1" applyFont="1" applyFill="1" applyBorder="1" applyAlignment="1">
      <alignment horizontal="center"/>
    </xf>
    <xf numFmtId="0" fontId="4" fillId="5" borderId="6" xfId="0" applyFont="1" applyFill="1" applyBorder="1" applyAlignment="1">
      <alignment horizontal="center"/>
    </xf>
    <xf numFmtId="0" fontId="4" fillId="2" borderId="10" xfId="0" applyFont="1" applyFill="1" applyBorder="1" applyAlignment="1">
      <alignment horizontal="center"/>
    </xf>
    <xf numFmtId="2" fontId="1" fillId="2" borderId="0" xfId="0" applyNumberFormat="1" applyFont="1" applyFill="1" applyAlignment="1">
      <alignment horizontal="center"/>
    </xf>
    <xf numFmtId="0" fontId="4" fillId="4" borderId="6" xfId="0" applyFont="1" applyFill="1" applyBorder="1" applyAlignment="1">
      <alignment horizontal="center"/>
    </xf>
    <xf numFmtId="0" fontId="4" fillId="4" borderId="12" xfId="0" applyFont="1" applyFill="1" applyBorder="1" applyAlignment="1">
      <alignment horizontal="center" wrapText="1"/>
    </xf>
    <xf numFmtId="0" fontId="4" fillId="4" borderId="2" xfId="0" applyFont="1" applyFill="1" applyBorder="1" applyAlignment="1">
      <alignment horizontal="center" wrapText="1"/>
    </xf>
    <xf numFmtId="0" fontId="1" fillId="2" borderId="0" xfId="0" applyFont="1" applyFill="1" applyAlignment="1">
      <alignment horizontal="left" wrapText="1"/>
    </xf>
    <xf numFmtId="2" fontId="1" fillId="2" borderId="12" xfId="0" applyNumberFormat="1" applyFont="1" applyFill="1" applyBorder="1" applyAlignment="1">
      <alignment horizontal="left"/>
    </xf>
    <xf numFmtId="0" fontId="1" fillId="2" borderId="12" xfId="0" applyFont="1" applyFill="1" applyBorder="1" applyAlignment="1">
      <alignment horizontal="left"/>
    </xf>
    <xf numFmtId="0" fontId="1" fillId="2" borderId="0" xfId="0" applyFont="1" applyFill="1" applyAlignment="1">
      <alignment horizontal="left"/>
    </xf>
    <xf numFmtId="0" fontId="1" fillId="2" borderId="2" xfId="0" applyFont="1" applyFill="1" applyBorder="1" applyAlignment="1">
      <alignment horizontal="left"/>
    </xf>
    <xf numFmtId="0" fontId="1" fillId="2" borderId="12" xfId="0" applyFont="1" applyFill="1" applyBorder="1" applyAlignment="1">
      <alignment horizontal="center" vertical="center"/>
    </xf>
    <xf numFmtId="0" fontId="1" fillId="2" borderId="0" xfId="0" applyFont="1" applyFill="1" applyAlignment="1">
      <alignment horizontal="center" vertical="center"/>
    </xf>
    <xf numFmtId="0" fontId="1" fillId="2" borderId="2" xfId="0" applyFont="1" applyFill="1" applyBorder="1" applyAlignment="1">
      <alignment horizontal="center" vertical="center"/>
    </xf>
    <xf numFmtId="0" fontId="21" fillId="3" borderId="2" xfId="0" applyFont="1" applyFill="1" applyBorder="1" applyAlignment="1">
      <alignment horizontal="left"/>
    </xf>
    <xf numFmtId="0" fontId="15" fillId="2" borderId="0" xfId="0" applyFont="1" applyFill="1" applyAlignment="1">
      <alignment horizontal="center"/>
    </xf>
    <xf numFmtId="0" fontId="0" fillId="4" borderId="22" xfId="0" applyFill="1" applyBorder="1" applyAlignment="1">
      <alignment horizontal="left" vertical="top" wrapText="1"/>
    </xf>
    <xf numFmtId="0" fontId="5" fillId="4" borderId="23" xfId="0" applyFont="1" applyFill="1" applyBorder="1" applyAlignment="1">
      <alignment horizontal="left" vertical="top" wrapText="1"/>
    </xf>
    <xf numFmtId="0" fontId="5" fillId="4" borderId="24" xfId="0" applyFont="1" applyFill="1" applyBorder="1" applyAlignment="1">
      <alignment horizontal="left" vertical="top" wrapText="1"/>
    </xf>
    <xf numFmtId="0" fontId="5" fillId="4" borderId="18" xfId="0" applyFont="1" applyFill="1" applyBorder="1" applyAlignment="1">
      <alignment horizontal="left" vertical="top" wrapText="1"/>
    </xf>
    <xf numFmtId="0" fontId="5" fillId="4" borderId="0" xfId="0" applyFont="1" applyFill="1" applyAlignment="1">
      <alignment horizontal="left" vertical="top" wrapText="1"/>
    </xf>
    <xf numFmtId="0" fontId="5" fillId="4" borderId="17" xfId="0" applyFont="1" applyFill="1" applyBorder="1" applyAlignment="1">
      <alignment horizontal="left" vertical="top" wrapText="1"/>
    </xf>
    <xf numFmtId="0" fontId="2" fillId="3" borderId="19" xfId="2" applyFill="1" applyBorder="1" applyAlignment="1" applyProtection="1">
      <alignment horizontal="left"/>
    </xf>
    <xf numFmtId="0" fontId="2" fillId="3" borderId="20" xfId="2" applyFill="1" applyBorder="1" applyAlignment="1" applyProtection="1">
      <alignment horizontal="left"/>
    </xf>
    <xf numFmtId="0" fontId="22" fillId="3" borderId="20" xfId="2" applyFont="1" applyFill="1" applyBorder="1" applyAlignment="1" applyProtection="1">
      <alignment horizontal="left"/>
    </xf>
    <xf numFmtId="0" fontId="22" fillId="3" borderId="21" xfId="2" applyFont="1" applyFill="1" applyBorder="1" applyAlignment="1" applyProtection="1">
      <alignment horizontal="left"/>
    </xf>
    <xf numFmtId="0" fontId="2" fillId="4" borderId="0" xfId="2" applyFill="1" applyBorder="1" applyAlignment="1" applyProtection="1">
      <alignment horizontal="left"/>
    </xf>
    <xf numFmtId="0" fontId="25" fillId="3" borderId="0" xfId="0" applyFont="1" applyFill="1" applyAlignment="1">
      <alignment horizontal="left" wrapText="1"/>
    </xf>
    <xf numFmtId="0" fontId="4" fillId="2" borderId="6" xfId="0" applyFont="1" applyFill="1" applyBorder="1" applyAlignment="1">
      <alignment horizontal="center"/>
    </xf>
    <xf numFmtId="0" fontId="5" fillId="2" borderId="0" xfId="0" applyFont="1" applyFill="1" applyAlignment="1">
      <alignment horizontal="left"/>
    </xf>
    <xf numFmtId="0" fontId="4" fillId="2" borderId="31" xfId="0" applyFont="1" applyFill="1" applyBorder="1" applyAlignment="1" applyProtection="1">
      <alignment horizontal="center" vertical="center" wrapText="1"/>
      <protection locked="0"/>
    </xf>
    <xf numFmtId="0" fontId="4" fillId="2" borderId="7" xfId="0" applyFont="1" applyFill="1" applyBorder="1" applyAlignment="1" applyProtection="1">
      <alignment horizontal="center" vertical="center" wrapText="1"/>
      <protection locked="0"/>
    </xf>
    <xf numFmtId="164" fontId="4" fillId="4" borderId="29" xfId="0" applyNumberFormat="1" applyFont="1" applyFill="1" applyBorder="1" applyAlignment="1">
      <alignment horizontal="center" vertical="center" wrapText="1"/>
    </xf>
    <xf numFmtId="164" fontId="4" fillId="4" borderId="30" xfId="0" applyNumberFormat="1" applyFont="1" applyFill="1" applyBorder="1" applyAlignment="1">
      <alignment horizontal="center" vertical="center" wrapText="1"/>
    </xf>
    <xf numFmtId="0" fontId="4" fillId="2" borderId="8" xfId="0" applyFont="1" applyFill="1" applyBorder="1" applyAlignment="1" applyProtection="1">
      <alignment horizontal="center" vertical="center" wrapText="1"/>
      <protection locked="0"/>
    </xf>
    <xf numFmtId="0" fontId="4" fillId="2" borderId="28" xfId="0" applyFont="1" applyFill="1" applyBorder="1" applyAlignment="1" applyProtection="1">
      <alignment horizontal="center" vertical="center" wrapText="1"/>
      <protection locked="0"/>
    </xf>
    <xf numFmtId="164" fontId="4" fillId="4" borderId="27" xfId="0" applyNumberFormat="1" applyFont="1" applyFill="1" applyBorder="1" applyAlignment="1">
      <alignment horizontal="center" vertical="center" wrapText="1"/>
    </xf>
    <xf numFmtId="164" fontId="4" fillId="4" borderId="26" xfId="0" applyNumberFormat="1" applyFont="1" applyFill="1" applyBorder="1" applyAlignment="1">
      <alignment horizontal="center" vertical="center" wrapText="1"/>
    </xf>
    <xf numFmtId="2" fontId="4" fillId="4" borderId="6" xfId="0" applyNumberFormat="1" applyFont="1" applyFill="1" applyBorder="1" applyAlignment="1">
      <alignment horizontal="center"/>
    </xf>
    <xf numFmtId="0" fontId="5" fillId="5" borderId="0" xfId="0" applyFont="1" applyFill="1" applyAlignment="1">
      <alignment horizontal="left" wrapText="1"/>
    </xf>
    <xf numFmtId="2" fontId="5" fillId="2" borderId="12" xfId="0" applyNumberFormat="1" applyFont="1" applyFill="1" applyBorder="1" applyAlignment="1">
      <alignment horizontal="left"/>
    </xf>
    <xf numFmtId="0" fontId="5" fillId="2" borderId="12" xfId="0" applyFont="1" applyFill="1" applyBorder="1" applyAlignment="1">
      <alignment horizontal="left"/>
    </xf>
    <xf numFmtId="2" fontId="9" fillId="2" borderId="0" xfId="0" applyNumberFormat="1" applyFont="1" applyFill="1" applyAlignment="1">
      <alignment horizontal="center"/>
    </xf>
    <xf numFmtId="0" fontId="15" fillId="5" borderId="12" xfId="0" applyFont="1" applyFill="1" applyBorder="1" applyAlignment="1">
      <alignment horizontal="center"/>
    </xf>
    <xf numFmtId="0" fontId="5" fillId="2" borderId="2" xfId="0" applyFont="1" applyFill="1" applyBorder="1" applyAlignment="1">
      <alignment horizontal="left"/>
    </xf>
    <xf numFmtId="1" fontId="5" fillId="2" borderId="12" xfId="0" applyNumberFormat="1" applyFont="1" applyFill="1" applyBorder="1" applyAlignment="1">
      <alignment horizontal="center" vertical="center"/>
    </xf>
    <xf numFmtId="1" fontId="5" fillId="2" borderId="0" xfId="0" applyNumberFormat="1" applyFont="1" applyFill="1" applyAlignment="1">
      <alignment horizontal="center" vertical="center"/>
    </xf>
    <xf numFmtId="1" fontId="5" fillId="2" borderId="2" xfId="0" applyNumberFormat="1" applyFont="1" applyFill="1" applyBorder="1" applyAlignment="1">
      <alignment horizontal="center" vertical="center"/>
    </xf>
    <xf numFmtId="0" fontId="5" fillId="4" borderId="6" xfId="0" applyFont="1" applyFill="1" applyBorder="1" applyAlignment="1">
      <alignment horizontal="center"/>
    </xf>
    <xf numFmtId="164" fontId="4" fillId="4" borderId="25" xfId="0" applyNumberFormat="1" applyFont="1" applyFill="1" applyBorder="1" applyAlignment="1">
      <alignment horizontal="center" vertical="center" wrapText="1"/>
    </xf>
    <xf numFmtId="0" fontId="4" fillId="2" borderId="9" xfId="0" applyFont="1" applyFill="1" applyBorder="1" applyAlignment="1">
      <alignment horizontal="center"/>
    </xf>
    <xf numFmtId="0" fontId="5" fillId="2" borderId="2" xfId="0" applyFont="1" applyFill="1" applyBorder="1" applyAlignment="1">
      <alignment horizontal="center"/>
    </xf>
    <xf numFmtId="0" fontId="5" fillId="2" borderId="12" xfId="0" applyFont="1" applyFill="1" applyBorder="1" applyAlignment="1">
      <alignment horizontal="center" vertical="top" wrapText="1"/>
    </xf>
    <xf numFmtId="0" fontId="5" fillId="2" borderId="0" xfId="0" applyFont="1" applyFill="1" applyAlignment="1">
      <alignment horizontal="center" vertical="top" wrapText="1"/>
    </xf>
    <xf numFmtId="0" fontId="5" fillId="2" borderId="2" xfId="0" applyFont="1" applyFill="1" applyBorder="1" applyAlignment="1">
      <alignment horizontal="center" vertical="top" wrapText="1"/>
    </xf>
    <xf numFmtId="164" fontId="4" fillId="2" borderId="7" xfId="0" applyNumberFormat="1" applyFont="1" applyFill="1" applyBorder="1" applyAlignment="1" applyProtection="1">
      <alignment horizontal="center" vertical="center" wrapText="1"/>
      <protection locked="0"/>
    </xf>
    <xf numFmtId="164" fontId="4" fillId="2" borderId="8" xfId="0" applyNumberFormat="1" applyFont="1" applyFill="1" applyBorder="1" applyAlignment="1" applyProtection="1">
      <alignment horizontal="center" vertical="center" wrapText="1"/>
      <protection locked="0"/>
    </xf>
    <xf numFmtId="0" fontId="5" fillId="2" borderId="0" xfId="0" applyFont="1" applyFill="1" applyAlignment="1">
      <alignment horizontal="center"/>
    </xf>
    <xf numFmtId="171" fontId="17" fillId="2" borderId="0" xfId="0" applyNumberFormat="1" applyFont="1" applyFill="1" applyAlignment="1">
      <alignment horizontal="center" vertical="top" wrapText="1"/>
    </xf>
    <xf numFmtId="171" fontId="17" fillId="2" borderId="12" xfId="0" applyNumberFormat="1" applyFont="1" applyFill="1" applyBorder="1" applyAlignment="1">
      <alignment horizontal="center" vertical="top" wrapText="1"/>
    </xf>
    <xf numFmtId="0" fontId="1" fillId="2" borderId="0" xfId="0" applyFont="1" applyFill="1" applyAlignment="1">
      <alignment horizontal="center"/>
    </xf>
  </cellXfs>
  <cellStyles count="6">
    <cellStyle name="Comma" xfId="1" builtinId="3"/>
    <cellStyle name="Hyperlink" xfId="2" builtinId="8"/>
    <cellStyle name="Normal" xfId="0" builtinId="0"/>
    <cellStyle name="Normal 2" xfId="5" xr:uid="{61F52083-8A23-7344-916B-31D980249B13}"/>
    <cellStyle name="Percent" xfId="3" builtinId="5"/>
    <cellStyle name="Percent 2" xfId="4" xr:uid="{BEE2E253-2BF0-B44E-96ED-676BC00C4CE4}"/>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2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2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2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US"/>
              <a:t>Chosen Se(D+)</a:t>
            </a:r>
          </a:p>
        </c:rich>
      </c:tx>
      <c:layout>
        <c:manualLayout>
          <c:xMode val="edge"/>
          <c:yMode val="edge"/>
          <c:x val="0.2647067607928319"/>
          <c:y val="4.624321959755031E-2"/>
        </c:manualLayout>
      </c:layout>
      <c:overlay val="0"/>
      <c:spPr>
        <a:noFill/>
        <a:ln w="25400">
          <a:noFill/>
        </a:ln>
      </c:spPr>
    </c:title>
    <c:autoTitleDeleted val="0"/>
    <c:plotArea>
      <c:layout>
        <c:manualLayout>
          <c:layoutTarget val="inner"/>
          <c:xMode val="edge"/>
          <c:yMode val="edge"/>
          <c:x val="0.14705952751382273"/>
          <c:y val="0.20231213872832371"/>
          <c:w val="0.79902343282510357"/>
          <c:h val="0.4450867052023121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'Exp Misc'!$AH$4:$AH$54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'Exp Misc'!$AJ$4:$AJ$54</c:f>
              <c:numCache>
                <c:formatCode>General</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3</c:v>
                </c:pt>
                <c:pt idx="31">
                  <c:v>1</c:v>
                </c:pt>
                <c:pt idx="32">
                  <c:v>2</c:v>
                </c:pt>
                <c:pt idx="33">
                  <c:v>3</c:v>
                </c:pt>
                <c:pt idx="34">
                  <c:v>0</c:v>
                </c:pt>
                <c:pt idx="35">
                  <c:v>4</c:v>
                </c:pt>
                <c:pt idx="36">
                  <c:v>2</c:v>
                </c:pt>
                <c:pt idx="37">
                  <c:v>1</c:v>
                </c:pt>
                <c:pt idx="38">
                  <c:v>2</c:v>
                </c:pt>
                <c:pt idx="39">
                  <c:v>2</c:v>
                </c:pt>
                <c:pt idx="40">
                  <c:v>1</c:v>
                </c:pt>
                <c:pt idx="41">
                  <c:v>2</c:v>
                </c:pt>
                <c:pt idx="42">
                  <c:v>2</c:v>
                </c:pt>
                <c:pt idx="43">
                  <c:v>3</c:v>
                </c:pt>
                <c:pt idx="44">
                  <c:v>0</c:v>
                </c:pt>
                <c:pt idx="45">
                  <c:v>3</c:v>
                </c:pt>
                <c:pt idx="46">
                  <c:v>2</c:v>
                </c:pt>
                <c:pt idx="47">
                  <c:v>0</c:v>
                </c:pt>
                <c:pt idx="48">
                  <c:v>1</c:v>
                </c:pt>
                <c:pt idx="49">
                  <c:v>0</c:v>
                </c:pt>
                <c:pt idx="50">
                  <c:v>1</c:v>
                </c:pt>
              </c:numCache>
            </c:numRef>
          </c:val>
          <c:extLst>
            <c:ext xmlns:c16="http://schemas.microsoft.com/office/drawing/2014/chart" uri="{C3380CC4-5D6E-409C-BE32-E72D297353CC}">
              <c16:uniqueId val="{00000000-D5F7-EE4F-8DC8-7E7F91759B4B}"/>
            </c:ext>
          </c:extLst>
        </c:ser>
        <c:dLbls>
          <c:showLegendKey val="0"/>
          <c:showVal val="0"/>
          <c:showCatName val="0"/>
          <c:showSerName val="0"/>
          <c:showPercent val="0"/>
          <c:showBubbleSize val="0"/>
        </c:dLbls>
        <c:gapWidth val="0"/>
        <c:axId val="1751285775"/>
        <c:axId val="1"/>
      </c:barChart>
      <c:catAx>
        <c:axId val="1751285775"/>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25"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751285775"/>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US"/>
              <a:t>Chosen Se(D-)</a:t>
            </a:r>
          </a:p>
        </c:rich>
      </c:tx>
      <c:layout>
        <c:manualLayout>
          <c:xMode val="edge"/>
          <c:yMode val="edge"/>
          <c:x val="0.26767786423146811"/>
          <c:y val="4.5977252843394573E-2"/>
        </c:manualLayout>
      </c:layout>
      <c:overlay val="0"/>
      <c:spPr>
        <a:noFill/>
        <a:ln w="25400">
          <a:noFill/>
        </a:ln>
      </c:spPr>
    </c:title>
    <c:autoTitleDeleted val="0"/>
    <c:plotArea>
      <c:layout>
        <c:manualLayout>
          <c:layoutTarget val="inner"/>
          <c:xMode val="edge"/>
          <c:yMode val="edge"/>
          <c:x val="0.1515158988118431"/>
          <c:y val="0.20115055423039147"/>
          <c:w val="0.79293320378197885"/>
          <c:h val="0.44827837799915815"/>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'Exp Misc'!$AH$4:$AH$54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'Exp Misc'!$AI$4:$AI$54</c:f>
              <c:numCache>
                <c:formatCode>General</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3</c:v>
                </c:pt>
                <c:pt idx="31">
                  <c:v>1</c:v>
                </c:pt>
                <c:pt idx="32">
                  <c:v>2</c:v>
                </c:pt>
                <c:pt idx="33">
                  <c:v>3</c:v>
                </c:pt>
                <c:pt idx="34">
                  <c:v>0</c:v>
                </c:pt>
                <c:pt idx="35">
                  <c:v>4</c:v>
                </c:pt>
                <c:pt idx="36">
                  <c:v>2</c:v>
                </c:pt>
                <c:pt idx="37">
                  <c:v>1</c:v>
                </c:pt>
                <c:pt idx="38">
                  <c:v>2</c:v>
                </c:pt>
                <c:pt idx="39">
                  <c:v>2</c:v>
                </c:pt>
                <c:pt idx="40">
                  <c:v>1</c:v>
                </c:pt>
                <c:pt idx="41">
                  <c:v>2</c:v>
                </c:pt>
                <c:pt idx="42">
                  <c:v>2</c:v>
                </c:pt>
                <c:pt idx="43">
                  <c:v>3</c:v>
                </c:pt>
                <c:pt idx="44">
                  <c:v>0</c:v>
                </c:pt>
                <c:pt idx="45">
                  <c:v>3</c:v>
                </c:pt>
                <c:pt idx="46">
                  <c:v>2</c:v>
                </c:pt>
                <c:pt idx="47">
                  <c:v>0</c:v>
                </c:pt>
                <c:pt idx="48">
                  <c:v>1</c:v>
                </c:pt>
                <c:pt idx="49">
                  <c:v>0</c:v>
                </c:pt>
                <c:pt idx="50">
                  <c:v>1</c:v>
                </c:pt>
              </c:numCache>
            </c:numRef>
          </c:val>
          <c:extLst>
            <c:ext xmlns:c16="http://schemas.microsoft.com/office/drawing/2014/chart" uri="{C3380CC4-5D6E-409C-BE32-E72D297353CC}">
              <c16:uniqueId val="{00000000-06B3-C641-9B63-C08CD5374492}"/>
            </c:ext>
          </c:extLst>
        </c:ser>
        <c:dLbls>
          <c:showLegendKey val="0"/>
          <c:showVal val="0"/>
          <c:showCatName val="0"/>
          <c:showSerName val="0"/>
          <c:showPercent val="0"/>
          <c:showBubbleSize val="0"/>
        </c:dLbls>
        <c:gapWidth val="0"/>
        <c:axId val="1452657711"/>
        <c:axId val="1"/>
      </c:barChart>
      <c:catAx>
        <c:axId val="1452657711"/>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25"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0"/>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452657711"/>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US"/>
              <a:t>Chosen Sp(D+)</a:t>
            </a:r>
          </a:p>
        </c:rich>
      </c:tx>
      <c:layout>
        <c:manualLayout>
          <c:xMode val="edge"/>
          <c:yMode val="edge"/>
          <c:x val="0.25510236220472438"/>
          <c:y val="4.4199290229566375E-2"/>
        </c:manualLayout>
      </c:layout>
      <c:overlay val="0"/>
      <c:spPr>
        <a:noFill/>
        <a:ln w="25400">
          <a:noFill/>
        </a:ln>
      </c:spPr>
    </c:title>
    <c:autoTitleDeleted val="0"/>
    <c:plotArea>
      <c:layout>
        <c:manualLayout>
          <c:layoutTarget val="inner"/>
          <c:xMode val="edge"/>
          <c:yMode val="edge"/>
          <c:x val="0.15306160580159289"/>
          <c:y val="0.19337068739934229"/>
          <c:w val="0.79081829664156333"/>
          <c:h val="0.4696145265412599"/>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'Exp Misc'!$AH$4:$AH$54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'Exp Misc'!$AL$4:$AL$54</c:f>
              <c:numCache>
                <c:formatCode>General</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1</c:v>
                </c:pt>
                <c:pt idx="45">
                  <c:v>5</c:v>
                </c:pt>
                <c:pt idx="46">
                  <c:v>8</c:v>
                </c:pt>
                <c:pt idx="47">
                  <c:v>10</c:v>
                </c:pt>
                <c:pt idx="48">
                  <c:v>8</c:v>
                </c:pt>
                <c:pt idx="49">
                  <c:v>3</c:v>
                </c:pt>
                <c:pt idx="50">
                  <c:v>1</c:v>
                </c:pt>
              </c:numCache>
            </c:numRef>
          </c:val>
          <c:extLst>
            <c:ext xmlns:c16="http://schemas.microsoft.com/office/drawing/2014/chart" uri="{C3380CC4-5D6E-409C-BE32-E72D297353CC}">
              <c16:uniqueId val="{00000000-F9E3-E044-8087-100E4AA90E29}"/>
            </c:ext>
          </c:extLst>
        </c:ser>
        <c:dLbls>
          <c:showLegendKey val="0"/>
          <c:showVal val="0"/>
          <c:showCatName val="0"/>
          <c:showSerName val="0"/>
          <c:showPercent val="0"/>
          <c:showBubbleSize val="0"/>
        </c:dLbls>
        <c:gapWidth val="0"/>
        <c:axId val="1452784159"/>
        <c:axId val="1"/>
      </c:barChart>
      <c:catAx>
        <c:axId val="1452784159"/>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52784159"/>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25" b="1" i="0" u="none" strike="noStrike" baseline="0">
                <a:solidFill>
                  <a:srgbClr val="000000"/>
                </a:solidFill>
                <a:latin typeface="Arial"/>
                <a:ea typeface="Arial"/>
                <a:cs typeface="Arial"/>
              </a:defRPr>
            </a:pPr>
            <a:r>
              <a:rPr lang="en-US"/>
              <a:t>Chosen Sp(D-)</a:t>
            </a:r>
          </a:p>
        </c:rich>
      </c:tx>
      <c:layout>
        <c:manualLayout>
          <c:xMode val="edge"/>
          <c:yMode val="edge"/>
          <c:x val="0.25120852870919225"/>
          <c:y val="4.3716205054787731E-2"/>
        </c:manualLayout>
      </c:layout>
      <c:overlay val="0"/>
      <c:spPr>
        <a:noFill/>
        <a:ln w="25400">
          <a:noFill/>
        </a:ln>
      </c:spPr>
    </c:title>
    <c:autoTitleDeleted val="0"/>
    <c:plotArea>
      <c:layout>
        <c:manualLayout>
          <c:layoutTarget val="inner"/>
          <c:xMode val="edge"/>
          <c:yMode val="edge"/>
          <c:x val="0.14492821995876717"/>
          <c:y val="0.19672236126601597"/>
          <c:w val="0.80193615043851163"/>
          <c:h val="0.464483352989204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'Exp Misc'!$AH$4:$AH$54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'Exp Misc'!$AK$4:$AK$54</c:f>
              <c:numCache>
                <c:formatCode>General</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1</c:v>
                </c:pt>
                <c:pt idx="45">
                  <c:v>5</c:v>
                </c:pt>
                <c:pt idx="46">
                  <c:v>8</c:v>
                </c:pt>
                <c:pt idx="47">
                  <c:v>10</c:v>
                </c:pt>
                <c:pt idx="48">
                  <c:v>8</c:v>
                </c:pt>
                <c:pt idx="49">
                  <c:v>3</c:v>
                </c:pt>
                <c:pt idx="50">
                  <c:v>1</c:v>
                </c:pt>
              </c:numCache>
            </c:numRef>
          </c:val>
          <c:extLst>
            <c:ext xmlns:c16="http://schemas.microsoft.com/office/drawing/2014/chart" uri="{C3380CC4-5D6E-409C-BE32-E72D297353CC}">
              <c16:uniqueId val="{00000000-497A-E546-848C-7DB0D204C797}"/>
            </c:ext>
          </c:extLst>
        </c:ser>
        <c:dLbls>
          <c:showLegendKey val="0"/>
          <c:showVal val="0"/>
          <c:showCatName val="0"/>
          <c:showSerName val="0"/>
          <c:showPercent val="0"/>
          <c:showBubbleSize val="0"/>
        </c:dLbls>
        <c:gapWidth val="0"/>
        <c:axId val="1434712959"/>
        <c:axId val="1"/>
      </c:barChart>
      <c:catAx>
        <c:axId val="1434712959"/>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50"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1434712959"/>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'Exp Misc'!$AU$2</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'Exp Misc'!$AW$3:$AW$5</c:f>
                <c:numCache>
                  <c:formatCode>General</c:formatCode>
                  <c:ptCount val="3"/>
                  <c:pt idx="0">
                    <c:v>0.12799040749439616</c:v>
                  </c:pt>
                  <c:pt idx="1">
                    <c:v>3.0690851352980664E-2</c:v>
                  </c:pt>
                  <c:pt idx="2">
                    <c:v>0.16573261981083198</c:v>
                  </c:pt>
                </c:numCache>
              </c:numRef>
            </c:plus>
            <c:minus>
              <c:numRef>
                <c:f>'Exp Misc'!$AV$3:$AV$5</c:f>
                <c:numCache>
                  <c:formatCode>General</c:formatCode>
                  <c:ptCount val="3"/>
                  <c:pt idx="0">
                    <c:v>0.11300782936665954</c:v>
                  </c:pt>
                  <c:pt idx="1">
                    <c:v>0.32400211441593385</c:v>
                  </c:pt>
                  <c:pt idx="2">
                    <c:v>0.22949303613132199</c:v>
                  </c:pt>
                </c:numCache>
              </c:numRef>
            </c:minus>
            <c:spPr>
              <a:noFill/>
              <a:ln w="19050" cap="flat" cmpd="sng" algn="ctr">
                <a:solidFill>
                  <a:schemeClr val="tx1">
                    <a:lumMod val="65000"/>
                    <a:lumOff val="35000"/>
                  </a:schemeClr>
                </a:solidFill>
                <a:round/>
              </a:ln>
              <a:effectLst/>
            </c:spPr>
          </c:errBars>
          <c:xVal>
            <c:numRef>
              <c:f>'Exp Misc'!$AU$3:$AU$5</c:f>
              <c:numCache>
                <c:formatCode>General</c:formatCode>
                <c:ptCount val="3"/>
                <c:pt idx="0">
                  <c:v>0.96538246004000106</c:v>
                </c:pt>
                <c:pt idx="1">
                  <c:v>0.92655744433951837</c:v>
                </c:pt>
                <c:pt idx="2">
                  <c:v>0.88069845875834263</c:v>
                </c:pt>
              </c:numCache>
            </c:numRef>
          </c:xVal>
          <c:yVal>
            <c:numRef>
              <c:f>'Exp Misc'!$AZ$3:$AZ$5</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444C-4300-88D1-E98500415491}"/>
            </c:ext>
          </c:extLst>
        </c:ser>
        <c:ser>
          <c:idx val="1"/>
          <c:order val="1"/>
          <c:tx>
            <c:strRef>
              <c:f>'Exp Misc'!$AV$2</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4D9F7FBB-823D-461F-BD98-9D88EE37CC6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444C-4300-88D1-E98500415491}"/>
                </c:ext>
              </c:extLst>
            </c:dLbl>
            <c:dLbl>
              <c:idx val="1"/>
              <c:layout>
                <c:manualLayout>
                  <c:x val="-0.56304918360115297"/>
                  <c:y val="-2.4117389017283305E-3"/>
                </c:manualLayout>
              </c:layout>
              <c:tx>
                <c:rich>
                  <a:bodyPr/>
                  <a:lstStyle/>
                  <a:p>
                    <a:fld id="{92B97CAF-4036-446F-B9A1-8609D819A92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444C-4300-88D1-E98500415491}"/>
                </c:ext>
              </c:extLst>
            </c:dLbl>
            <c:dLbl>
              <c:idx val="2"/>
              <c:layout>
                <c:manualLayout>
                  <c:x val="-0.56569439184264037"/>
                  <c:y val="-7.2352167051849539E-3"/>
                </c:manualLayout>
              </c:layout>
              <c:tx>
                <c:rich>
                  <a:bodyPr/>
                  <a:lstStyle/>
                  <a:p>
                    <a:fld id="{9C7520CF-E038-4486-B648-386917A872A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444C-4300-88D1-E98500415491}"/>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'Exp Misc'!$AV$3:$AV$5</c:f>
              <c:numCache>
                <c:formatCode>General</c:formatCode>
                <c:ptCount val="3"/>
                <c:pt idx="0">
                  <c:v>0.11300782936665954</c:v>
                </c:pt>
                <c:pt idx="1">
                  <c:v>0.32400211441593385</c:v>
                </c:pt>
                <c:pt idx="2">
                  <c:v>0.22949303613132199</c:v>
                </c:pt>
              </c:numCache>
            </c:numRef>
          </c:xVal>
          <c:yVal>
            <c:numRef>
              <c:f>'Exp Misc'!$AZ$3:$AZ$5</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444C-4300-88D1-E98500415491}"/>
            </c:ext>
          </c:extLst>
        </c:ser>
        <c:ser>
          <c:idx val="2"/>
          <c:order val="2"/>
          <c:tx>
            <c:strRef>
              <c:f>'Exp Misc'!$AW$2</c:f>
              <c:strCache>
                <c:ptCount val="1"/>
                <c:pt idx="0">
                  <c:v>Upper</c:v>
                </c:pt>
              </c:strCache>
            </c:strRef>
          </c:tx>
          <c:spPr>
            <a:ln w="25400" cap="rnd">
              <a:noFill/>
              <a:round/>
            </a:ln>
            <a:effectLst/>
          </c:spPr>
          <c:marker>
            <c:symbol val="circle"/>
            <c:size val="5"/>
            <c:spPr>
              <a:noFill/>
              <a:ln w="9525">
                <a:noFill/>
              </a:ln>
              <a:effectLst/>
            </c:spPr>
          </c:marker>
          <c:dLbls>
            <c:dLbl>
              <c:idx val="0"/>
              <c:tx>
                <c:rich>
                  <a:bodyPr/>
                  <a:lstStyle/>
                  <a:p>
                    <a:fld id="{891ACFC6-D420-4F10-8555-4868287943B4}" type="CELLRANGE">
                      <a:rPr lang="en-US"/>
                      <a:pPr/>
                      <a:t>[CELLRANGE]</a:t>
                    </a:fld>
                    <a:endParaRPr lang="en-US"/>
                  </a:p>
                </c:rich>
              </c:tx>
              <c:dLblPos val="l"/>
              <c:showLegendKey val="0"/>
              <c:showVal val="0"/>
              <c:showCatName val="0"/>
              <c:showSerName val="0"/>
              <c:showPercent val="0"/>
              <c:showBubbleSize val="0"/>
              <c:extLst xmlns:c15="http://schemas.microsoft.com/office/drawing/2012/chart">
                <c:ext xmlns:c15="http://schemas.microsoft.com/office/drawing/2012/chart" uri="{CE6537A1-D6FC-4f65-9D91-7224C49458BB}">
                  <c15:dlblFieldTable/>
                  <c15:showDataLabelsRange val="1"/>
                </c:ext>
                <c:ext xmlns:c16="http://schemas.microsoft.com/office/drawing/2014/chart" uri="{C3380CC4-5D6E-409C-BE32-E72D297353CC}">
                  <c16:uniqueId val="{00000005-444C-4300-88D1-E98500415491}"/>
                </c:ext>
              </c:extLst>
            </c:dLbl>
            <c:dLbl>
              <c:idx val="1"/>
              <c:tx>
                <c:rich>
                  <a:bodyPr/>
                  <a:lstStyle/>
                  <a:p>
                    <a:fld id="{3C823A8B-115A-4FF6-84FD-F4DB9A857CE7}"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44C-4300-88D1-E98500415491}"/>
                </c:ext>
              </c:extLst>
            </c:dLbl>
            <c:dLbl>
              <c:idx val="2"/>
              <c:tx>
                <c:rich>
                  <a:bodyPr/>
                  <a:lstStyle/>
                  <a:p>
                    <a:fld id="{D7AD9337-9488-49A0-B0D0-C32E30EE46B5}"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44C-4300-88D1-E9850041549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xmlns:c15="http://schemas.microsoft.com/office/drawing/2012/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'Exp Misc'!$AW$3:$AW$5</c:f>
              <c:numCache>
                <c:formatCode>General</c:formatCode>
                <c:ptCount val="3"/>
                <c:pt idx="0">
                  <c:v>0.12799040749439616</c:v>
                </c:pt>
                <c:pt idx="1">
                  <c:v>3.0690851352980664E-2</c:v>
                </c:pt>
                <c:pt idx="2">
                  <c:v>0.16573261981083198</c:v>
                </c:pt>
              </c:numCache>
            </c:numRef>
          </c:xVal>
          <c:yVal>
            <c:numRef>
              <c:f>'Exp Misc'!$AZ$3:$AZ$5</c:f>
              <c:numCache>
                <c:formatCode>General</c:formatCode>
                <c:ptCount val="3"/>
                <c:pt idx="0">
                  <c:v>2.5</c:v>
                </c:pt>
                <c:pt idx="1">
                  <c:v>1.5</c:v>
                </c:pt>
                <c:pt idx="2">
                  <c:v>0.5</c:v>
                </c:pt>
              </c:numCache>
            </c:numRef>
          </c:yVal>
          <c:smooth val="0"/>
          <c:extLst xmlns:c15="http://schemas.microsoft.com/office/drawing/2012/chart">
            <c:ext xmlns:c15="http://schemas.microsoft.com/office/drawing/2012/chart" uri="{02D57815-91ED-43cb-92C2-25804820EDAC}">
              <c15:datalabelsRange>
                <c15:f>{"","","","","","","","","","","","","","",""}</c15:f>
                <c15:dlblRangeCache>
                  <c:ptCount val="15"/>
                </c15:dlblRangeCache>
              </c15:datalabelsRange>
            </c:ext>
            <c:ext xmlns:c16="http://schemas.microsoft.com/office/drawing/2014/chart" uri="{C3380CC4-5D6E-409C-BE32-E72D297353CC}">
              <c16:uniqueId val="{00000008-444C-4300-88D1-E98500415491}"/>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Risk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'Exp Misc'!$AU$7</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'Exp Misc'!$AW$8:$AW$10</c:f>
                <c:numCache>
                  <c:formatCode>General</c:formatCode>
                  <c:ptCount val="3"/>
                  <c:pt idx="0">
                    <c:v>0.17097688404202416</c:v>
                  </c:pt>
                  <c:pt idx="1">
                    <c:v>3.9496557150668132E-2</c:v>
                  </c:pt>
                  <c:pt idx="2">
                    <c:v>0.41087137640893356</c:v>
                  </c:pt>
                </c:numCache>
              </c:numRef>
            </c:plus>
            <c:minus>
              <c:numRef>
                <c:f>'Exp Misc'!$AV$8:$AV$10</c:f>
                <c:numCache>
                  <c:formatCode>General</c:formatCode>
                  <c:ptCount val="3"/>
                  <c:pt idx="0">
                    <c:v>0.14499693294351768</c:v>
                  </c:pt>
                  <c:pt idx="1">
                    <c:v>0.3565898417136657</c:v>
                  </c:pt>
                  <c:pt idx="2">
                    <c:v>0.26487410202046413</c:v>
                  </c:pt>
                </c:numCache>
              </c:numRef>
            </c:minus>
            <c:spPr>
              <a:noFill/>
              <a:ln w="19050" cap="flat" cmpd="sng" algn="ctr">
                <a:solidFill>
                  <a:schemeClr val="tx1">
                    <a:lumMod val="65000"/>
                    <a:lumOff val="35000"/>
                  </a:schemeClr>
                </a:solidFill>
                <a:round/>
              </a:ln>
              <a:effectLst/>
            </c:spPr>
          </c:errBars>
          <c:xVal>
            <c:numRef>
              <c:f>'Exp Misc'!$AU$8:$AU$10</c:f>
              <c:numCache>
                <c:formatCode>General</c:formatCode>
                <c:ptCount val="3"/>
                <c:pt idx="0">
                  <c:v>0.95424058714868398</c:v>
                </c:pt>
                <c:pt idx="1">
                  <c:v>0.90411291823986761</c:v>
                </c:pt>
                <c:pt idx="2">
                  <c:v>0.8771828350169959</c:v>
                </c:pt>
              </c:numCache>
            </c:numRef>
          </c:xVal>
          <c:yVal>
            <c:numRef>
              <c:f>'Exp Misc'!$AZ$8:$AZ$10</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6F57-4456-AD76-51E1CDAC6A0A}"/>
            </c:ext>
          </c:extLst>
        </c:ser>
        <c:ser>
          <c:idx val="1"/>
          <c:order val="1"/>
          <c:tx>
            <c:strRef>
              <c:f>'Exp Misc'!$AV$7</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8380704862364441"/>
                  <c:y val="8.2716759506836351E-3"/>
                </c:manualLayout>
              </c:layout>
              <c:tx>
                <c:rich>
                  <a:bodyPr/>
                  <a:lstStyle/>
                  <a:p>
                    <a:fld id="{E3C2E8A8-4AF3-494E-9B20-14B069BB7F9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6F57-4456-AD76-51E1CDAC6A0A}"/>
                </c:ext>
              </c:extLst>
            </c:dLbl>
            <c:dLbl>
              <c:idx val="1"/>
              <c:layout>
                <c:manualLayout>
                  <c:x val="-0.56304918360115297"/>
                  <c:y val="-2.4117389017283305E-3"/>
                </c:manualLayout>
              </c:layout>
              <c:tx>
                <c:rich>
                  <a:bodyPr/>
                  <a:lstStyle/>
                  <a:p>
                    <a:fld id="{7CFEB3ED-E117-4C16-9118-9780F21C7E7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6F57-4456-AD76-51E1CDAC6A0A}"/>
                </c:ext>
              </c:extLst>
            </c:dLbl>
            <c:dLbl>
              <c:idx val="2"/>
              <c:layout>
                <c:manualLayout>
                  <c:x val="-0.56569439184264037"/>
                  <c:y val="-7.2352167051849539E-3"/>
                </c:manualLayout>
              </c:layout>
              <c:tx>
                <c:rich>
                  <a:bodyPr/>
                  <a:lstStyle/>
                  <a:p>
                    <a:fld id="{AAFCAA0E-4B35-42BC-818F-0F850359D61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6F57-4456-AD76-51E1CDAC6A0A}"/>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'Exp Misc'!$AV$8:$AV$10</c:f>
              <c:numCache>
                <c:formatCode>General</c:formatCode>
                <c:ptCount val="3"/>
                <c:pt idx="0">
                  <c:v>0.14499693294351768</c:v>
                </c:pt>
                <c:pt idx="1">
                  <c:v>0.3565898417136657</c:v>
                </c:pt>
                <c:pt idx="2">
                  <c:v>0.26487410202046413</c:v>
                </c:pt>
              </c:numCache>
            </c:numRef>
          </c:xVal>
          <c:yVal>
            <c:numRef>
              <c:f>'Exp Misc'!$AZ$8:$AZ$10</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6F57-4456-AD76-51E1CDAC6A0A}"/>
            </c:ext>
          </c:extLst>
        </c:ser>
        <c:ser>
          <c:idx val="2"/>
          <c:order val="2"/>
          <c:tx>
            <c:strRef>
              <c:f>'Exp Misc'!$AW$7</c:f>
              <c:strCache>
                <c:ptCount val="1"/>
                <c:pt idx="0">
                  <c:v>Upper</c:v>
                </c:pt>
              </c:strCache>
            </c:strRef>
          </c:tx>
          <c:spPr>
            <a:ln w="25400" cap="rnd">
              <a:noFill/>
              <a:round/>
            </a:ln>
            <a:effectLst/>
          </c:spPr>
          <c:marker>
            <c:symbol val="circle"/>
            <c:size val="5"/>
            <c:spPr>
              <a:noFill/>
              <a:ln w="9525">
                <a:noFill/>
              </a:ln>
              <a:effectLst/>
            </c:spPr>
          </c:marker>
          <c:dLbls>
            <c:dLbl>
              <c:idx val="0"/>
              <c:tx>
                <c:rich>
                  <a:bodyPr/>
                  <a:lstStyle/>
                  <a:p>
                    <a:fld id="{C3AC5F56-1638-4B89-8952-121A383AFB15}" type="CELLRANGE">
                      <a:rPr lang="en-US"/>
                      <a:pPr/>
                      <a:t>[CELLRANGE]</a:t>
                    </a:fld>
                    <a:endParaRPr lang="en-US"/>
                  </a:p>
                </c:rich>
              </c:tx>
              <c:dLblPos val="l"/>
              <c:showLegendKey val="0"/>
              <c:showVal val="0"/>
              <c:showCatName val="0"/>
              <c:showSerName val="0"/>
              <c:showPercent val="0"/>
              <c:showBubbleSize val="0"/>
              <c:extLst xmlns:c15="http://schemas.microsoft.com/office/drawing/2012/chart">
                <c:ext xmlns:c15="http://schemas.microsoft.com/office/drawing/2012/chart" uri="{CE6537A1-D6FC-4f65-9D91-7224C49458BB}">
                  <c15:dlblFieldTable/>
                  <c15:showDataLabelsRange val="1"/>
                </c:ext>
                <c:ext xmlns:c16="http://schemas.microsoft.com/office/drawing/2014/chart" uri="{C3380CC4-5D6E-409C-BE32-E72D297353CC}">
                  <c16:uniqueId val="{00000005-6F57-4456-AD76-51E1CDAC6A0A}"/>
                </c:ext>
              </c:extLst>
            </c:dLbl>
            <c:dLbl>
              <c:idx val="1"/>
              <c:tx>
                <c:rich>
                  <a:bodyPr/>
                  <a:lstStyle/>
                  <a:p>
                    <a:fld id="{AFA41B16-8618-4A12-A46A-B7811ABD65D5}"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F57-4456-AD76-51E1CDAC6A0A}"/>
                </c:ext>
              </c:extLst>
            </c:dLbl>
            <c:dLbl>
              <c:idx val="2"/>
              <c:tx>
                <c:rich>
                  <a:bodyPr/>
                  <a:lstStyle/>
                  <a:p>
                    <a:fld id="{7F387508-68E1-489F-9CE1-2D10F109FA36}"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F57-4456-AD76-51E1CDAC6A0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xmlns:c15="http://schemas.microsoft.com/office/drawing/2012/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'Exp Misc'!$AW$8:$AW$10</c:f>
              <c:numCache>
                <c:formatCode>General</c:formatCode>
                <c:ptCount val="3"/>
                <c:pt idx="0">
                  <c:v>0.17097688404202416</c:v>
                </c:pt>
                <c:pt idx="1">
                  <c:v>3.9496557150668132E-2</c:v>
                </c:pt>
                <c:pt idx="2">
                  <c:v>0.41087137640893356</c:v>
                </c:pt>
              </c:numCache>
            </c:numRef>
          </c:xVal>
          <c:yVal>
            <c:numRef>
              <c:f>'Exp Misc'!$AZ$8:$AZ$10</c:f>
              <c:numCache>
                <c:formatCode>General</c:formatCode>
                <c:ptCount val="3"/>
                <c:pt idx="0">
                  <c:v>2.5</c:v>
                </c:pt>
                <c:pt idx="1">
                  <c:v>1.5</c:v>
                </c:pt>
                <c:pt idx="2">
                  <c:v>0.5</c:v>
                </c:pt>
              </c:numCache>
            </c:numRef>
          </c:yVal>
          <c:smooth val="0"/>
          <c:extLst xmlns:c15="http://schemas.microsoft.com/office/drawing/2012/chart">
            <c:ext xmlns:c15="http://schemas.microsoft.com/office/drawing/2012/chart" uri="{02D57815-91ED-43cb-92C2-25804820EDAC}">
              <c15:datalabelsRange>
                <c15:f>{"","","","","","","","","","","","","","",""}</c15:f>
                <c15:dlblRangeCache>
                  <c:ptCount val="15"/>
                </c15:dlblRangeCache>
              </c15:datalabelsRange>
            </c:ext>
            <c:ext xmlns:c16="http://schemas.microsoft.com/office/drawing/2014/chart" uri="{C3380CC4-5D6E-409C-BE32-E72D297353CC}">
              <c16:uniqueId val="{00000008-6F57-4456-AD76-51E1CDAC6A0A}"/>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Odds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US"/>
              <a:t>Chosen Se(E+)</a:t>
            </a:r>
          </a:p>
        </c:rich>
      </c:tx>
      <c:layout>
        <c:manualLayout>
          <c:xMode val="edge"/>
          <c:yMode val="edge"/>
          <c:x val="0.26630469450812322"/>
          <c:y val="4.7904158464566929E-2"/>
        </c:manualLayout>
      </c:layout>
      <c:overlay val="0"/>
      <c:spPr>
        <a:noFill/>
        <a:ln w="25400">
          <a:noFill/>
        </a:ln>
      </c:spPr>
    </c:title>
    <c:autoTitleDeleted val="0"/>
    <c:plotArea>
      <c:layout>
        <c:manualLayout>
          <c:layoutTarget val="inner"/>
          <c:xMode val="edge"/>
          <c:yMode val="edge"/>
          <c:x val="0.16304391093089476"/>
          <c:y val="0.19760479041916168"/>
          <c:w val="0.77717597543726502"/>
          <c:h val="0.43712574850299402"/>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'Dis Misc'!$AL$5:$AL$54</c:f>
              <c:numCache>
                <c:formatCode>General</c:formatCode>
                <c:ptCount val="50"/>
                <c:pt idx="0">
                  <c:v>0.02</c:v>
                </c:pt>
                <c:pt idx="1">
                  <c:v>0.04</c:v>
                </c:pt>
                <c:pt idx="2">
                  <c:v>0.06</c:v>
                </c:pt>
                <c:pt idx="3">
                  <c:v>0.08</c:v>
                </c:pt>
                <c:pt idx="4">
                  <c:v>0.1</c:v>
                </c:pt>
                <c:pt idx="5">
                  <c:v>0.12000000000000001</c:v>
                </c:pt>
                <c:pt idx="6">
                  <c:v>0.14000000000000001</c:v>
                </c:pt>
                <c:pt idx="7">
                  <c:v>0.16</c:v>
                </c:pt>
                <c:pt idx="8">
                  <c:v>0.18</c:v>
                </c:pt>
                <c:pt idx="9">
                  <c:v>0.19999999999999998</c:v>
                </c:pt>
                <c:pt idx="10">
                  <c:v>0.21999999999999997</c:v>
                </c:pt>
                <c:pt idx="11">
                  <c:v>0.23999999999999996</c:v>
                </c:pt>
                <c:pt idx="12">
                  <c:v>0.25999999999999995</c:v>
                </c:pt>
                <c:pt idx="13">
                  <c:v>0.27999999999999997</c:v>
                </c:pt>
                <c:pt idx="14">
                  <c:v>0.3</c:v>
                </c:pt>
                <c:pt idx="15">
                  <c:v>0.32</c:v>
                </c:pt>
                <c:pt idx="16">
                  <c:v>0.34</c:v>
                </c:pt>
                <c:pt idx="17">
                  <c:v>0.36000000000000004</c:v>
                </c:pt>
                <c:pt idx="18">
                  <c:v>0.38000000000000006</c:v>
                </c:pt>
                <c:pt idx="19">
                  <c:v>0.40000000000000008</c:v>
                </c:pt>
                <c:pt idx="20">
                  <c:v>0.4200000000000001</c:v>
                </c:pt>
                <c:pt idx="21">
                  <c:v>0.44000000000000011</c:v>
                </c:pt>
                <c:pt idx="22">
                  <c:v>0.46000000000000013</c:v>
                </c:pt>
                <c:pt idx="23">
                  <c:v>0.48000000000000015</c:v>
                </c:pt>
                <c:pt idx="24">
                  <c:v>0.50000000000000011</c:v>
                </c:pt>
                <c:pt idx="25">
                  <c:v>0.52000000000000013</c:v>
                </c:pt>
                <c:pt idx="26">
                  <c:v>0.54000000000000015</c:v>
                </c:pt>
                <c:pt idx="27">
                  <c:v>0.56000000000000016</c:v>
                </c:pt>
                <c:pt idx="28">
                  <c:v>0.58000000000000018</c:v>
                </c:pt>
                <c:pt idx="29">
                  <c:v>0.6000000000000002</c:v>
                </c:pt>
                <c:pt idx="30">
                  <c:v>0.62000000000000022</c:v>
                </c:pt>
                <c:pt idx="31">
                  <c:v>0.64000000000000024</c:v>
                </c:pt>
                <c:pt idx="32">
                  <c:v>0.66000000000000025</c:v>
                </c:pt>
                <c:pt idx="33">
                  <c:v>0.68000000000000027</c:v>
                </c:pt>
                <c:pt idx="34">
                  <c:v>0.70000000000000029</c:v>
                </c:pt>
                <c:pt idx="35">
                  <c:v>0.72000000000000031</c:v>
                </c:pt>
                <c:pt idx="36">
                  <c:v>0.74000000000000032</c:v>
                </c:pt>
                <c:pt idx="37">
                  <c:v>0.76000000000000034</c:v>
                </c:pt>
                <c:pt idx="38">
                  <c:v>0.78000000000000036</c:v>
                </c:pt>
                <c:pt idx="39">
                  <c:v>0.80000000000000038</c:v>
                </c:pt>
                <c:pt idx="40">
                  <c:v>0.8200000000000004</c:v>
                </c:pt>
                <c:pt idx="41">
                  <c:v>0.84000000000000041</c:v>
                </c:pt>
                <c:pt idx="42">
                  <c:v>0.86000000000000043</c:v>
                </c:pt>
                <c:pt idx="43">
                  <c:v>0.88000000000000045</c:v>
                </c:pt>
                <c:pt idx="44">
                  <c:v>0.90000000000000047</c:v>
                </c:pt>
                <c:pt idx="45">
                  <c:v>0.92000000000000048</c:v>
                </c:pt>
                <c:pt idx="46">
                  <c:v>0.9400000000000005</c:v>
                </c:pt>
                <c:pt idx="47">
                  <c:v>0.96000000000000052</c:v>
                </c:pt>
                <c:pt idx="48">
                  <c:v>0.98000000000000054</c:v>
                </c:pt>
                <c:pt idx="49">
                  <c:v>1</c:v>
                </c:pt>
              </c:numCache>
            </c:numRef>
          </c:cat>
          <c:val>
            <c:numRef>
              <c:f>'Dis Misc'!$AM$5:$AM$54</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4</c:v>
                </c:pt>
                <c:pt idx="41">
                  <c:v>9</c:v>
                </c:pt>
                <c:pt idx="42">
                  <c:v>11</c:v>
                </c:pt>
                <c:pt idx="43">
                  <c:v>19</c:v>
                </c:pt>
                <c:pt idx="44">
                  <c:v>11</c:v>
                </c:pt>
                <c:pt idx="45">
                  <c:v>10</c:v>
                </c:pt>
                <c:pt idx="46">
                  <c:v>5</c:v>
                </c:pt>
                <c:pt idx="47">
                  <c:v>0</c:v>
                </c:pt>
                <c:pt idx="48">
                  <c:v>0</c:v>
                </c:pt>
                <c:pt idx="49">
                  <c:v>0</c:v>
                </c:pt>
              </c:numCache>
            </c:numRef>
          </c:val>
          <c:extLst>
            <c:ext xmlns:c16="http://schemas.microsoft.com/office/drawing/2014/chart" uri="{C3380CC4-5D6E-409C-BE32-E72D297353CC}">
              <c16:uniqueId val="{00000000-25B1-2247-B75E-411ABB9FBCB4}"/>
            </c:ext>
          </c:extLst>
        </c:ser>
        <c:dLbls>
          <c:showLegendKey val="0"/>
          <c:showVal val="0"/>
          <c:showCatName val="0"/>
          <c:showSerName val="0"/>
          <c:showPercent val="0"/>
          <c:showBubbleSize val="0"/>
        </c:dLbls>
        <c:gapWidth val="0"/>
        <c:axId val="1452550559"/>
        <c:axId val="1"/>
      </c:barChart>
      <c:catAx>
        <c:axId val="1452550559"/>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52550559"/>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3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50" b="1" i="0" u="none" strike="noStrike" baseline="0">
                <a:solidFill>
                  <a:srgbClr val="000000"/>
                </a:solidFill>
                <a:latin typeface="Arial"/>
                <a:ea typeface="Arial"/>
                <a:cs typeface="Arial"/>
              </a:defRPr>
            </a:pPr>
            <a:r>
              <a:rPr lang="en-US"/>
              <a:t>Chosen Se(E-)</a:t>
            </a:r>
          </a:p>
        </c:rich>
      </c:tx>
      <c:layout>
        <c:manualLayout>
          <c:xMode val="edge"/>
          <c:yMode val="edge"/>
          <c:x val="0.25789575382831748"/>
          <c:y val="4.4198904484765489E-2"/>
        </c:manualLayout>
      </c:layout>
      <c:overlay val="0"/>
      <c:spPr>
        <a:noFill/>
        <a:ln w="25400">
          <a:noFill/>
        </a:ln>
      </c:spPr>
    </c:title>
    <c:autoTitleDeleted val="0"/>
    <c:plotArea>
      <c:layout>
        <c:manualLayout>
          <c:layoutTarget val="inner"/>
          <c:xMode val="edge"/>
          <c:yMode val="edge"/>
          <c:x val="0.15789514261704002"/>
          <c:y val="0.19337068739934229"/>
          <c:w val="0.78421254166463217"/>
          <c:h val="0.4696145265412599"/>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('Dis Misc'!$AL$5:$AL$54,'Dis Misc'!$G$78:$G$81)</c:f>
              <c:numCache>
                <c:formatCode>General</c:formatCode>
                <c:ptCount val="54"/>
                <c:pt idx="0">
                  <c:v>0.02</c:v>
                </c:pt>
                <c:pt idx="1">
                  <c:v>0.04</c:v>
                </c:pt>
                <c:pt idx="2">
                  <c:v>0.06</c:v>
                </c:pt>
                <c:pt idx="3">
                  <c:v>0.08</c:v>
                </c:pt>
                <c:pt idx="4">
                  <c:v>0.1</c:v>
                </c:pt>
                <c:pt idx="5">
                  <c:v>0.12000000000000001</c:v>
                </c:pt>
                <c:pt idx="6">
                  <c:v>0.14000000000000001</c:v>
                </c:pt>
                <c:pt idx="7">
                  <c:v>0.16</c:v>
                </c:pt>
                <c:pt idx="8">
                  <c:v>0.18</c:v>
                </c:pt>
                <c:pt idx="9">
                  <c:v>0.19999999999999998</c:v>
                </c:pt>
                <c:pt idx="10">
                  <c:v>0.21999999999999997</c:v>
                </c:pt>
                <c:pt idx="11">
                  <c:v>0.23999999999999996</c:v>
                </c:pt>
                <c:pt idx="12">
                  <c:v>0.25999999999999995</c:v>
                </c:pt>
                <c:pt idx="13">
                  <c:v>0.27999999999999997</c:v>
                </c:pt>
                <c:pt idx="14">
                  <c:v>0.3</c:v>
                </c:pt>
                <c:pt idx="15">
                  <c:v>0.32</c:v>
                </c:pt>
                <c:pt idx="16">
                  <c:v>0.34</c:v>
                </c:pt>
                <c:pt idx="17">
                  <c:v>0.36000000000000004</c:v>
                </c:pt>
                <c:pt idx="18">
                  <c:v>0.38000000000000006</c:v>
                </c:pt>
                <c:pt idx="19">
                  <c:v>0.40000000000000008</c:v>
                </c:pt>
                <c:pt idx="20">
                  <c:v>0.4200000000000001</c:v>
                </c:pt>
                <c:pt idx="21">
                  <c:v>0.44000000000000011</c:v>
                </c:pt>
                <c:pt idx="22">
                  <c:v>0.46000000000000013</c:v>
                </c:pt>
                <c:pt idx="23">
                  <c:v>0.48000000000000015</c:v>
                </c:pt>
                <c:pt idx="24">
                  <c:v>0.50000000000000011</c:v>
                </c:pt>
                <c:pt idx="25">
                  <c:v>0.52000000000000013</c:v>
                </c:pt>
                <c:pt idx="26">
                  <c:v>0.54000000000000015</c:v>
                </c:pt>
                <c:pt idx="27">
                  <c:v>0.56000000000000016</c:v>
                </c:pt>
                <c:pt idx="28">
                  <c:v>0.58000000000000018</c:v>
                </c:pt>
                <c:pt idx="29">
                  <c:v>0.6000000000000002</c:v>
                </c:pt>
                <c:pt idx="30">
                  <c:v>0.62000000000000022</c:v>
                </c:pt>
                <c:pt idx="31">
                  <c:v>0.64000000000000024</c:v>
                </c:pt>
                <c:pt idx="32">
                  <c:v>0.66000000000000025</c:v>
                </c:pt>
                <c:pt idx="33">
                  <c:v>0.68000000000000027</c:v>
                </c:pt>
                <c:pt idx="34">
                  <c:v>0.70000000000000029</c:v>
                </c:pt>
                <c:pt idx="35">
                  <c:v>0.72000000000000031</c:v>
                </c:pt>
                <c:pt idx="36">
                  <c:v>0.74000000000000032</c:v>
                </c:pt>
                <c:pt idx="37">
                  <c:v>0.76000000000000034</c:v>
                </c:pt>
                <c:pt idx="38">
                  <c:v>0.78000000000000036</c:v>
                </c:pt>
                <c:pt idx="39">
                  <c:v>0.80000000000000038</c:v>
                </c:pt>
                <c:pt idx="40">
                  <c:v>0.8200000000000004</c:v>
                </c:pt>
                <c:pt idx="41">
                  <c:v>0.84000000000000041</c:v>
                </c:pt>
                <c:pt idx="42">
                  <c:v>0.86000000000000043</c:v>
                </c:pt>
                <c:pt idx="43">
                  <c:v>0.88000000000000045</c:v>
                </c:pt>
                <c:pt idx="44">
                  <c:v>0.90000000000000047</c:v>
                </c:pt>
                <c:pt idx="45">
                  <c:v>0.92000000000000048</c:v>
                </c:pt>
                <c:pt idx="46">
                  <c:v>0.9400000000000005</c:v>
                </c:pt>
                <c:pt idx="47">
                  <c:v>0.96000000000000052</c:v>
                </c:pt>
                <c:pt idx="48">
                  <c:v>0.98000000000000054</c:v>
                </c:pt>
                <c:pt idx="49">
                  <c:v>1</c:v>
                </c:pt>
              </c:numCache>
            </c:numRef>
          </c:cat>
          <c:val>
            <c:numRef>
              <c:f>('Dis Misc'!$AN$5:$AN$54,'Dis Misc'!$H$78:$H$81)</c:f>
              <c:numCache>
                <c:formatCode>General</c:formatCode>
                <c:ptCount val="5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3</c:v>
                </c:pt>
                <c:pt idx="44">
                  <c:v>23</c:v>
                </c:pt>
                <c:pt idx="45">
                  <c:v>11</c:v>
                </c:pt>
                <c:pt idx="46">
                  <c:v>12</c:v>
                </c:pt>
                <c:pt idx="47">
                  <c:v>11</c:v>
                </c:pt>
                <c:pt idx="48">
                  <c:v>9</c:v>
                </c:pt>
                <c:pt idx="49">
                  <c:v>0</c:v>
                </c:pt>
              </c:numCache>
            </c:numRef>
          </c:val>
          <c:extLst>
            <c:ext xmlns:c16="http://schemas.microsoft.com/office/drawing/2014/chart" uri="{C3380CC4-5D6E-409C-BE32-E72D297353CC}">
              <c16:uniqueId val="{00000000-4998-6643-8A08-2B21201E5041}"/>
            </c:ext>
          </c:extLst>
        </c:ser>
        <c:dLbls>
          <c:showLegendKey val="0"/>
          <c:showVal val="0"/>
          <c:showCatName val="0"/>
          <c:showSerName val="0"/>
          <c:showPercent val="0"/>
          <c:showBubbleSize val="0"/>
        </c:dLbls>
        <c:gapWidth val="0"/>
        <c:axId val="1437835423"/>
        <c:axId val="1"/>
      </c:barChart>
      <c:catAx>
        <c:axId val="1437835423"/>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5"/>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37835423"/>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3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50" b="1" i="0" u="none" strike="noStrike" baseline="0">
                <a:solidFill>
                  <a:srgbClr val="000000"/>
                </a:solidFill>
                <a:latin typeface="Arial"/>
                <a:ea typeface="Arial"/>
                <a:cs typeface="Arial"/>
              </a:defRPr>
            </a:pPr>
            <a:r>
              <a:rPr lang="en-US"/>
              <a:t>Chosen Sp(E+)</a:t>
            </a:r>
          </a:p>
        </c:rich>
      </c:tx>
      <c:layout>
        <c:manualLayout>
          <c:xMode val="edge"/>
          <c:yMode val="edge"/>
          <c:x val="0.25257733408323957"/>
          <c:y val="4.8912823397075367E-2"/>
        </c:manualLayout>
      </c:layout>
      <c:overlay val="0"/>
      <c:spPr>
        <a:noFill/>
        <a:ln w="25400">
          <a:noFill/>
        </a:ln>
      </c:spPr>
    </c:title>
    <c:autoTitleDeleted val="0"/>
    <c:plotArea>
      <c:layout>
        <c:manualLayout>
          <c:layoutTarget val="inner"/>
          <c:xMode val="edge"/>
          <c:yMode val="edge"/>
          <c:x val="0.15463917525773196"/>
          <c:y val="0.19021789608604386"/>
          <c:w val="0.78865979381443296"/>
          <c:h val="0.47282734169959478"/>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'Dis Misc'!$AL$5:$AL$54</c:f>
              <c:numCache>
                <c:formatCode>General</c:formatCode>
                <c:ptCount val="50"/>
                <c:pt idx="0">
                  <c:v>0.02</c:v>
                </c:pt>
                <c:pt idx="1">
                  <c:v>0.04</c:v>
                </c:pt>
                <c:pt idx="2">
                  <c:v>0.06</c:v>
                </c:pt>
                <c:pt idx="3">
                  <c:v>0.08</c:v>
                </c:pt>
                <c:pt idx="4">
                  <c:v>0.1</c:v>
                </c:pt>
                <c:pt idx="5">
                  <c:v>0.12000000000000001</c:v>
                </c:pt>
                <c:pt idx="6">
                  <c:v>0.14000000000000001</c:v>
                </c:pt>
                <c:pt idx="7">
                  <c:v>0.16</c:v>
                </c:pt>
                <c:pt idx="8">
                  <c:v>0.18</c:v>
                </c:pt>
                <c:pt idx="9">
                  <c:v>0.19999999999999998</c:v>
                </c:pt>
                <c:pt idx="10">
                  <c:v>0.21999999999999997</c:v>
                </c:pt>
                <c:pt idx="11">
                  <c:v>0.23999999999999996</c:v>
                </c:pt>
                <c:pt idx="12">
                  <c:v>0.25999999999999995</c:v>
                </c:pt>
                <c:pt idx="13">
                  <c:v>0.27999999999999997</c:v>
                </c:pt>
                <c:pt idx="14">
                  <c:v>0.3</c:v>
                </c:pt>
                <c:pt idx="15">
                  <c:v>0.32</c:v>
                </c:pt>
                <c:pt idx="16">
                  <c:v>0.34</c:v>
                </c:pt>
                <c:pt idx="17">
                  <c:v>0.36000000000000004</c:v>
                </c:pt>
                <c:pt idx="18">
                  <c:v>0.38000000000000006</c:v>
                </c:pt>
                <c:pt idx="19">
                  <c:v>0.40000000000000008</c:v>
                </c:pt>
                <c:pt idx="20">
                  <c:v>0.4200000000000001</c:v>
                </c:pt>
                <c:pt idx="21">
                  <c:v>0.44000000000000011</c:v>
                </c:pt>
                <c:pt idx="22">
                  <c:v>0.46000000000000013</c:v>
                </c:pt>
                <c:pt idx="23">
                  <c:v>0.48000000000000015</c:v>
                </c:pt>
                <c:pt idx="24">
                  <c:v>0.50000000000000011</c:v>
                </c:pt>
                <c:pt idx="25">
                  <c:v>0.52000000000000013</c:v>
                </c:pt>
                <c:pt idx="26">
                  <c:v>0.54000000000000015</c:v>
                </c:pt>
                <c:pt idx="27">
                  <c:v>0.56000000000000016</c:v>
                </c:pt>
                <c:pt idx="28">
                  <c:v>0.58000000000000018</c:v>
                </c:pt>
                <c:pt idx="29">
                  <c:v>0.6000000000000002</c:v>
                </c:pt>
                <c:pt idx="30">
                  <c:v>0.62000000000000022</c:v>
                </c:pt>
                <c:pt idx="31">
                  <c:v>0.64000000000000024</c:v>
                </c:pt>
                <c:pt idx="32">
                  <c:v>0.66000000000000025</c:v>
                </c:pt>
                <c:pt idx="33">
                  <c:v>0.68000000000000027</c:v>
                </c:pt>
                <c:pt idx="34">
                  <c:v>0.70000000000000029</c:v>
                </c:pt>
                <c:pt idx="35">
                  <c:v>0.72000000000000031</c:v>
                </c:pt>
                <c:pt idx="36">
                  <c:v>0.74000000000000032</c:v>
                </c:pt>
                <c:pt idx="37">
                  <c:v>0.76000000000000034</c:v>
                </c:pt>
                <c:pt idx="38">
                  <c:v>0.78000000000000036</c:v>
                </c:pt>
                <c:pt idx="39">
                  <c:v>0.80000000000000038</c:v>
                </c:pt>
                <c:pt idx="40">
                  <c:v>0.8200000000000004</c:v>
                </c:pt>
                <c:pt idx="41">
                  <c:v>0.84000000000000041</c:v>
                </c:pt>
                <c:pt idx="42">
                  <c:v>0.86000000000000043</c:v>
                </c:pt>
                <c:pt idx="43">
                  <c:v>0.88000000000000045</c:v>
                </c:pt>
                <c:pt idx="44">
                  <c:v>0.90000000000000047</c:v>
                </c:pt>
                <c:pt idx="45">
                  <c:v>0.92000000000000048</c:v>
                </c:pt>
                <c:pt idx="46">
                  <c:v>0.9400000000000005</c:v>
                </c:pt>
                <c:pt idx="47">
                  <c:v>0.96000000000000052</c:v>
                </c:pt>
                <c:pt idx="48">
                  <c:v>0.98000000000000054</c:v>
                </c:pt>
                <c:pt idx="49">
                  <c:v>1</c:v>
                </c:pt>
              </c:numCache>
            </c:numRef>
          </c:cat>
          <c:val>
            <c:numRef>
              <c:f>'Dis Misc'!$AO$5:$AO$54</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69</c:v>
                </c:pt>
              </c:numCache>
            </c:numRef>
          </c:val>
          <c:extLst>
            <c:ext xmlns:c16="http://schemas.microsoft.com/office/drawing/2014/chart" uri="{C3380CC4-5D6E-409C-BE32-E72D297353CC}">
              <c16:uniqueId val="{00000000-BFF0-3E4C-89E9-997CB546538E}"/>
            </c:ext>
          </c:extLst>
        </c:ser>
        <c:dLbls>
          <c:showLegendKey val="0"/>
          <c:showVal val="0"/>
          <c:showCatName val="0"/>
          <c:showSerName val="0"/>
          <c:showPercent val="0"/>
          <c:showBubbleSize val="0"/>
        </c:dLbls>
        <c:gapWidth val="0"/>
        <c:axId val="1437629375"/>
        <c:axId val="1"/>
      </c:barChart>
      <c:catAx>
        <c:axId val="1437629375"/>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37629375"/>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50" b="1" i="0" u="none" strike="noStrike" baseline="0">
                <a:solidFill>
                  <a:srgbClr val="000000"/>
                </a:solidFill>
                <a:latin typeface="Arial"/>
                <a:ea typeface="Arial"/>
                <a:cs typeface="Arial"/>
              </a:defRPr>
            </a:pPr>
            <a:r>
              <a:rPr lang="en-US"/>
              <a:t>Chosen Sp(E-)</a:t>
            </a:r>
          </a:p>
        </c:rich>
      </c:tx>
      <c:layout>
        <c:manualLayout>
          <c:xMode val="edge"/>
          <c:yMode val="edge"/>
          <c:x val="0.2617801072411961"/>
          <c:y val="4.8648481439820021E-2"/>
        </c:manualLayout>
      </c:layout>
      <c:overlay val="0"/>
      <c:spPr>
        <a:noFill/>
        <a:ln w="25400">
          <a:noFill/>
        </a:ln>
      </c:spPr>
    </c:title>
    <c:autoTitleDeleted val="0"/>
    <c:plotArea>
      <c:layout>
        <c:manualLayout>
          <c:layoutTarget val="inner"/>
          <c:xMode val="edge"/>
          <c:yMode val="edge"/>
          <c:x val="0.15706806282722513"/>
          <c:y val="0.1891891891891892"/>
          <c:w val="0.78534031413612571"/>
          <c:h val="0.4756756756756757"/>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'Dis Misc'!$AL$5:$AL$54</c:f>
              <c:numCache>
                <c:formatCode>General</c:formatCode>
                <c:ptCount val="50"/>
                <c:pt idx="0">
                  <c:v>0.02</c:v>
                </c:pt>
                <c:pt idx="1">
                  <c:v>0.04</c:v>
                </c:pt>
                <c:pt idx="2">
                  <c:v>0.06</c:v>
                </c:pt>
                <c:pt idx="3">
                  <c:v>0.08</c:v>
                </c:pt>
                <c:pt idx="4">
                  <c:v>0.1</c:v>
                </c:pt>
                <c:pt idx="5">
                  <c:v>0.12000000000000001</c:v>
                </c:pt>
                <c:pt idx="6">
                  <c:v>0.14000000000000001</c:v>
                </c:pt>
                <c:pt idx="7">
                  <c:v>0.16</c:v>
                </c:pt>
                <c:pt idx="8">
                  <c:v>0.18</c:v>
                </c:pt>
                <c:pt idx="9">
                  <c:v>0.19999999999999998</c:v>
                </c:pt>
                <c:pt idx="10">
                  <c:v>0.21999999999999997</c:v>
                </c:pt>
                <c:pt idx="11">
                  <c:v>0.23999999999999996</c:v>
                </c:pt>
                <c:pt idx="12">
                  <c:v>0.25999999999999995</c:v>
                </c:pt>
                <c:pt idx="13">
                  <c:v>0.27999999999999997</c:v>
                </c:pt>
                <c:pt idx="14">
                  <c:v>0.3</c:v>
                </c:pt>
                <c:pt idx="15">
                  <c:v>0.32</c:v>
                </c:pt>
                <c:pt idx="16">
                  <c:v>0.34</c:v>
                </c:pt>
                <c:pt idx="17">
                  <c:v>0.36000000000000004</c:v>
                </c:pt>
                <c:pt idx="18">
                  <c:v>0.38000000000000006</c:v>
                </c:pt>
                <c:pt idx="19">
                  <c:v>0.40000000000000008</c:v>
                </c:pt>
                <c:pt idx="20">
                  <c:v>0.4200000000000001</c:v>
                </c:pt>
                <c:pt idx="21">
                  <c:v>0.44000000000000011</c:v>
                </c:pt>
                <c:pt idx="22">
                  <c:v>0.46000000000000013</c:v>
                </c:pt>
                <c:pt idx="23">
                  <c:v>0.48000000000000015</c:v>
                </c:pt>
                <c:pt idx="24">
                  <c:v>0.50000000000000011</c:v>
                </c:pt>
                <c:pt idx="25">
                  <c:v>0.52000000000000013</c:v>
                </c:pt>
                <c:pt idx="26">
                  <c:v>0.54000000000000015</c:v>
                </c:pt>
                <c:pt idx="27">
                  <c:v>0.56000000000000016</c:v>
                </c:pt>
                <c:pt idx="28">
                  <c:v>0.58000000000000018</c:v>
                </c:pt>
                <c:pt idx="29">
                  <c:v>0.6000000000000002</c:v>
                </c:pt>
                <c:pt idx="30">
                  <c:v>0.62000000000000022</c:v>
                </c:pt>
                <c:pt idx="31">
                  <c:v>0.64000000000000024</c:v>
                </c:pt>
                <c:pt idx="32">
                  <c:v>0.66000000000000025</c:v>
                </c:pt>
                <c:pt idx="33">
                  <c:v>0.68000000000000027</c:v>
                </c:pt>
                <c:pt idx="34">
                  <c:v>0.70000000000000029</c:v>
                </c:pt>
                <c:pt idx="35">
                  <c:v>0.72000000000000031</c:v>
                </c:pt>
                <c:pt idx="36">
                  <c:v>0.74000000000000032</c:v>
                </c:pt>
                <c:pt idx="37">
                  <c:v>0.76000000000000034</c:v>
                </c:pt>
                <c:pt idx="38">
                  <c:v>0.78000000000000036</c:v>
                </c:pt>
                <c:pt idx="39">
                  <c:v>0.80000000000000038</c:v>
                </c:pt>
                <c:pt idx="40">
                  <c:v>0.8200000000000004</c:v>
                </c:pt>
                <c:pt idx="41">
                  <c:v>0.84000000000000041</c:v>
                </c:pt>
                <c:pt idx="42">
                  <c:v>0.86000000000000043</c:v>
                </c:pt>
                <c:pt idx="43">
                  <c:v>0.88000000000000045</c:v>
                </c:pt>
                <c:pt idx="44">
                  <c:v>0.90000000000000047</c:v>
                </c:pt>
                <c:pt idx="45">
                  <c:v>0.92000000000000048</c:v>
                </c:pt>
                <c:pt idx="46">
                  <c:v>0.9400000000000005</c:v>
                </c:pt>
                <c:pt idx="47">
                  <c:v>0.96000000000000052</c:v>
                </c:pt>
                <c:pt idx="48">
                  <c:v>0.98000000000000054</c:v>
                </c:pt>
                <c:pt idx="49">
                  <c:v>1</c:v>
                </c:pt>
              </c:numCache>
            </c:numRef>
          </c:cat>
          <c:val>
            <c:numRef>
              <c:f>'Dis Misc'!$AP$5:$AP$54</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c:v>
                </c:pt>
                <c:pt idx="38">
                  <c:v>6</c:v>
                </c:pt>
                <c:pt idx="39">
                  <c:v>4</c:v>
                </c:pt>
                <c:pt idx="40">
                  <c:v>4</c:v>
                </c:pt>
                <c:pt idx="41">
                  <c:v>7</c:v>
                </c:pt>
                <c:pt idx="42">
                  <c:v>4</c:v>
                </c:pt>
                <c:pt idx="43">
                  <c:v>4</c:v>
                </c:pt>
                <c:pt idx="44">
                  <c:v>6</c:v>
                </c:pt>
                <c:pt idx="45">
                  <c:v>9</c:v>
                </c:pt>
                <c:pt idx="46">
                  <c:v>3</c:v>
                </c:pt>
                <c:pt idx="47">
                  <c:v>7</c:v>
                </c:pt>
                <c:pt idx="48">
                  <c:v>9</c:v>
                </c:pt>
                <c:pt idx="49">
                  <c:v>4</c:v>
                </c:pt>
              </c:numCache>
            </c:numRef>
          </c:val>
          <c:extLst>
            <c:ext xmlns:c16="http://schemas.microsoft.com/office/drawing/2014/chart" uri="{C3380CC4-5D6E-409C-BE32-E72D297353CC}">
              <c16:uniqueId val="{00000000-1FBE-3E42-8907-7257A550C8CB}"/>
            </c:ext>
          </c:extLst>
        </c:ser>
        <c:dLbls>
          <c:showLegendKey val="0"/>
          <c:showVal val="0"/>
          <c:showCatName val="0"/>
          <c:showSerName val="0"/>
          <c:showPercent val="0"/>
          <c:showBubbleSize val="0"/>
        </c:dLbls>
        <c:gapWidth val="0"/>
        <c:axId val="1452564399"/>
        <c:axId val="1"/>
      </c:barChart>
      <c:catAx>
        <c:axId val="1452564399"/>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52564399"/>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3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'Dis Misc'!$AU$2</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'Dis Misc'!$AW$3:$AW$5</c:f>
                <c:numCache>
                  <c:formatCode>General</c:formatCode>
                  <c:ptCount val="3"/>
                  <c:pt idx="0">
                    <c:v>0.12799040749439616</c:v>
                  </c:pt>
                  <c:pt idx="1">
                    <c:v>16.282627197882906</c:v>
                  </c:pt>
                  <c:pt idx="2">
                    <c:v>15.791648230907329</c:v>
                  </c:pt>
                </c:numCache>
              </c:numRef>
            </c:plus>
            <c:minus>
              <c:numRef>
                <c:f>'Dis Misc'!$AV$3:$AV$5</c:f>
                <c:numCache>
                  <c:formatCode>General</c:formatCode>
                  <c:ptCount val="3"/>
                  <c:pt idx="0">
                    <c:v>0.11300782936665954</c:v>
                  </c:pt>
                  <c:pt idx="1">
                    <c:v>0.54386138988208121</c:v>
                  </c:pt>
                  <c:pt idx="2">
                    <c:v>0.60118245286575889</c:v>
                  </c:pt>
                </c:numCache>
              </c:numRef>
            </c:minus>
            <c:spPr>
              <a:noFill/>
              <a:ln w="19050" cap="flat" cmpd="sng" algn="ctr">
                <a:solidFill>
                  <a:schemeClr val="tx1">
                    <a:lumMod val="65000"/>
                    <a:lumOff val="35000"/>
                  </a:schemeClr>
                </a:solidFill>
                <a:round/>
              </a:ln>
              <a:effectLst/>
            </c:spPr>
          </c:errBars>
          <c:xVal>
            <c:numRef>
              <c:f>'Dis Misc'!$AU$3:$AU$5</c:f>
              <c:numCache>
                <c:formatCode>General</c:formatCode>
                <c:ptCount val="3"/>
                <c:pt idx="0">
                  <c:v>0.96538246004000106</c:v>
                </c:pt>
                <c:pt idx="1">
                  <c:v>1.5847220714194028</c:v>
                </c:pt>
                <c:pt idx="2">
                  <c:v>1.5938228467554276</c:v>
                </c:pt>
              </c:numCache>
            </c:numRef>
          </c:xVal>
          <c:yVal>
            <c:numRef>
              <c:f>'Dis Misc'!$AZ$3:$AZ$5</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4267-4206-8970-232E0B3384F3}"/>
            </c:ext>
          </c:extLst>
        </c:ser>
        <c:ser>
          <c:idx val="1"/>
          <c:order val="1"/>
          <c:tx>
            <c:strRef>
              <c:f>'Dis Misc'!$AV$2</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A0064483-40DC-4BD3-B40E-AA9F23B227F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4267-4206-8970-232E0B3384F3}"/>
                </c:ext>
              </c:extLst>
            </c:dLbl>
            <c:dLbl>
              <c:idx val="1"/>
              <c:layout>
                <c:manualLayout>
                  <c:x val="-0.56304918360115297"/>
                  <c:y val="-2.4117389017283305E-3"/>
                </c:manualLayout>
              </c:layout>
              <c:tx>
                <c:rich>
                  <a:bodyPr/>
                  <a:lstStyle/>
                  <a:p>
                    <a:fld id="{142FE408-9707-4088-B24F-0AC7DF89058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4267-4206-8970-232E0B3384F3}"/>
                </c:ext>
              </c:extLst>
            </c:dLbl>
            <c:dLbl>
              <c:idx val="2"/>
              <c:layout>
                <c:manualLayout>
                  <c:x val="-0.56569439184264037"/>
                  <c:y val="-7.2352167051849539E-3"/>
                </c:manualLayout>
              </c:layout>
              <c:tx>
                <c:rich>
                  <a:bodyPr/>
                  <a:lstStyle/>
                  <a:p>
                    <a:fld id="{3981ADD0-A3BF-47BD-B8E1-92674D03CA5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4267-4206-8970-232E0B3384F3}"/>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'Dis Misc'!$AV$3:$AV$5</c:f>
              <c:numCache>
                <c:formatCode>General</c:formatCode>
                <c:ptCount val="3"/>
                <c:pt idx="0">
                  <c:v>0.11300782936665954</c:v>
                </c:pt>
                <c:pt idx="1">
                  <c:v>0.54386138988208121</c:v>
                </c:pt>
                <c:pt idx="2">
                  <c:v>0.60118245286575889</c:v>
                </c:pt>
              </c:numCache>
            </c:numRef>
          </c:xVal>
          <c:yVal>
            <c:numRef>
              <c:f>'Dis Misc'!$AZ$3:$AZ$5</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4267-4206-8970-232E0B3384F3}"/>
            </c:ext>
          </c:extLst>
        </c:ser>
        <c:ser>
          <c:idx val="2"/>
          <c:order val="2"/>
          <c:tx>
            <c:strRef>
              <c:f>'Dis Misc'!$AW$2</c:f>
              <c:strCache>
                <c:ptCount val="1"/>
                <c:pt idx="0">
                  <c:v>Upper</c:v>
                </c:pt>
              </c:strCache>
            </c:strRef>
          </c:tx>
          <c:spPr>
            <a:ln w="25400" cap="rnd">
              <a:noFill/>
              <a:round/>
            </a:ln>
            <a:effectLst/>
          </c:spPr>
          <c:marker>
            <c:symbol val="circle"/>
            <c:size val="5"/>
            <c:spPr>
              <a:noFill/>
              <a:ln w="9525">
                <a:noFill/>
              </a:ln>
              <a:effectLst/>
            </c:spPr>
          </c:marker>
          <c:xVal>
            <c:numRef>
              <c:f>'Dis Misc'!$AW$3:$AW$5</c:f>
              <c:numCache>
                <c:formatCode>General</c:formatCode>
                <c:ptCount val="3"/>
                <c:pt idx="0">
                  <c:v>0.12799040749439616</c:v>
                </c:pt>
                <c:pt idx="1">
                  <c:v>16.282627197882906</c:v>
                </c:pt>
                <c:pt idx="2">
                  <c:v>15.791648230907329</c:v>
                </c:pt>
              </c:numCache>
            </c:numRef>
          </c:xVal>
          <c:yVal>
            <c:numRef>
              <c:f>'Dis Misc'!$AZ$3:$AZ$5</c:f>
              <c:numCache>
                <c:formatCode>General</c:formatCode>
                <c:ptCount val="3"/>
                <c:pt idx="0">
                  <c:v>2.5</c:v>
                </c:pt>
                <c:pt idx="1">
                  <c:v>1.5</c:v>
                </c:pt>
                <c:pt idx="2">
                  <c:v>0.5</c:v>
                </c:pt>
              </c:numCache>
            </c:numRef>
          </c:yVal>
          <c:smooth val="0"/>
          <c:extLst xmlns:c15="http://schemas.microsoft.com/office/drawing/2012/chart">
            <c:ext xmlns:c16="http://schemas.microsoft.com/office/drawing/2014/chart" uri="{C3380CC4-5D6E-409C-BE32-E72D297353CC}">
              <c16:uniqueId val="{00000008-4267-4206-8970-232E0B3384F3}"/>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Risk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'Dis Misc'!$AU$8</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'Dis Misc'!$AW$9:$AW$11</c:f>
                <c:numCache>
                  <c:formatCode>General</c:formatCode>
                  <c:ptCount val="3"/>
                  <c:pt idx="0">
                    <c:v>0.17097688404202416</c:v>
                  </c:pt>
                  <c:pt idx="1">
                    <c:v>22.165524321490235</c:v>
                  </c:pt>
                  <c:pt idx="2">
                    <c:v>19.791050572219756</c:v>
                  </c:pt>
                </c:numCache>
              </c:numRef>
            </c:plus>
            <c:minus>
              <c:numRef>
                <c:f>'Dis Misc'!$AV$9:$AV$11</c:f>
                <c:numCache>
                  <c:formatCode>General</c:formatCode>
                  <c:ptCount val="3"/>
                  <c:pt idx="0">
                    <c:v>0.14499693294351768</c:v>
                  </c:pt>
                  <c:pt idx="1">
                    <c:v>0.75499890979208195</c:v>
                  </c:pt>
                  <c:pt idx="2">
                    <c:v>0.7116290452071925</c:v>
                  </c:pt>
                </c:numCache>
              </c:numRef>
            </c:minus>
            <c:spPr>
              <a:noFill/>
              <a:ln w="19050" cap="flat" cmpd="sng" algn="ctr">
                <a:solidFill>
                  <a:schemeClr val="tx1">
                    <a:lumMod val="65000"/>
                    <a:lumOff val="35000"/>
                  </a:schemeClr>
                </a:solidFill>
                <a:round/>
              </a:ln>
              <a:effectLst/>
            </c:spPr>
          </c:errBars>
          <c:xVal>
            <c:numRef>
              <c:f>'Dis Misc'!$AU$9:$AU$11</c:f>
              <c:numCache>
                <c:formatCode>General</c:formatCode>
                <c:ptCount val="3"/>
                <c:pt idx="0">
                  <c:v>0.95424058714868398</c:v>
                </c:pt>
                <c:pt idx="1">
                  <c:v>1.8114628464713531</c:v>
                </c:pt>
                <c:pt idx="2">
                  <c:v>1.7574388671792702</c:v>
                </c:pt>
              </c:numCache>
            </c:numRef>
          </c:xVal>
          <c:yVal>
            <c:numRef>
              <c:f>'Dis Misc'!$AZ$9:$AZ$11</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29E2-408E-B91E-3D461D73510A}"/>
            </c:ext>
          </c:extLst>
        </c:ser>
        <c:ser>
          <c:idx val="1"/>
          <c:order val="1"/>
          <c:tx>
            <c:strRef>
              <c:f>'Dis Misc'!$AV$8</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976D7BD6-C975-4A4B-918A-117E02FA011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29E2-408E-B91E-3D461D73510A}"/>
                </c:ext>
              </c:extLst>
            </c:dLbl>
            <c:dLbl>
              <c:idx val="1"/>
              <c:layout>
                <c:manualLayout>
                  <c:x val="-0.56304918360115297"/>
                  <c:y val="-2.4117389017283305E-3"/>
                </c:manualLayout>
              </c:layout>
              <c:tx>
                <c:rich>
                  <a:bodyPr/>
                  <a:lstStyle/>
                  <a:p>
                    <a:fld id="{46395F26-1128-42CD-9EE7-EBAA236EADE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29E2-408E-B91E-3D461D73510A}"/>
                </c:ext>
              </c:extLst>
            </c:dLbl>
            <c:dLbl>
              <c:idx val="2"/>
              <c:layout>
                <c:manualLayout>
                  <c:x val="-0.56569439184264037"/>
                  <c:y val="-7.2352167051849539E-3"/>
                </c:manualLayout>
              </c:layout>
              <c:tx>
                <c:rich>
                  <a:bodyPr/>
                  <a:lstStyle/>
                  <a:p>
                    <a:fld id="{320047A6-FFCD-42AA-A9B0-92F5A6516AA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29E2-408E-B91E-3D461D73510A}"/>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'Dis Misc'!$AV$9:$AV$11</c:f>
              <c:numCache>
                <c:formatCode>General</c:formatCode>
                <c:ptCount val="3"/>
                <c:pt idx="0">
                  <c:v>0.14499693294351768</c:v>
                </c:pt>
                <c:pt idx="1">
                  <c:v>0.75499890979208195</c:v>
                </c:pt>
                <c:pt idx="2">
                  <c:v>0.7116290452071925</c:v>
                </c:pt>
              </c:numCache>
            </c:numRef>
          </c:xVal>
          <c:yVal>
            <c:numRef>
              <c:f>'Dis Misc'!$AZ$9:$AZ$11</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29E2-408E-B91E-3D461D73510A}"/>
            </c:ext>
          </c:extLst>
        </c:ser>
        <c:ser>
          <c:idx val="2"/>
          <c:order val="2"/>
          <c:tx>
            <c:strRef>
              <c:f>'Dis Misc'!$AW$8</c:f>
              <c:strCache>
                <c:ptCount val="1"/>
                <c:pt idx="0">
                  <c:v>Upper</c:v>
                </c:pt>
              </c:strCache>
            </c:strRef>
          </c:tx>
          <c:spPr>
            <a:ln w="25400" cap="rnd">
              <a:noFill/>
              <a:round/>
            </a:ln>
            <a:effectLst/>
          </c:spPr>
          <c:marker>
            <c:symbol val="circle"/>
            <c:size val="5"/>
            <c:spPr>
              <a:noFill/>
              <a:ln w="9525">
                <a:noFill/>
              </a:ln>
              <a:effectLst/>
            </c:spPr>
          </c:marker>
          <c:dLbls>
            <c:dLbl>
              <c:idx val="0"/>
              <c:tx>
                <c:rich>
                  <a:bodyPr/>
                  <a:lstStyle/>
                  <a:p>
                    <a:fld id="{B64C9E00-475F-47BE-A4B5-B5C097860357}" type="CELLRANGE">
                      <a:rPr lang="en-US"/>
                      <a:pPr/>
                      <a:t>[CELLRANGE]</a:t>
                    </a:fld>
                    <a:endParaRPr lang="en-US"/>
                  </a:p>
                </c:rich>
              </c:tx>
              <c:dLblPos val="l"/>
              <c:showLegendKey val="0"/>
              <c:showVal val="0"/>
              <c:showCatName val="0"/>
              <c:showSerName val="0"/>
              <c:showPercent val="0"/>
              <c:showBubbleSize val="0"/>
              <c:extLst xmlns:c15="http://schemas.microsoft.com/office/drawing/2012/chart">
                <c:ext xmlns:c15="http://schemas.microsoft.com/office/drawing/2012/chart" uri="{CE6537A1-D6FC-4f65-9D91-7224C49458BB}">
                  <c15:dlblFieldTable/>
                  <c15:showDataLabelsRange val="1"/>
                </c:ext>
                <c:ext xmlns:c16="http://schemas.microsoft.com/office/drawing/2014/chart" uri="{C3380CC4-5D6E-409C-BE32-E72D297353CC}">
                  <c16:uniqueId val="{00000005-29E2-408E-B91E-3D461D73510A}"/>
                </c:ext>
              </c:extLst>
            </c:dLbl>
            <c:dLbl>
              <c:idx val="1"/>
              <c:tx>
                <c:rich>
                  <a:bodyPr/>
                  <a:lstStyle/>
                  <a:p>
                    <a:fld id="{B48C1CC5-967E-4954-904C-86C28CDE1D2E}"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9E2-408E-B91E-3D461D73510A}"/>
                </c:ext>
              </c:extLst>
            </c:dLbl>
            <c:dLbl>
              <c:idx val="2"/>
              <c:tx>
                <c:rich>
                  <a:bodyPr/>
                  <a:lstStyle/>
                  <a:p>
                    <a:fld id="{2F745F6D-572E-4C3A-849A-7E91DBA0BED5}"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9E2-408E-B91E-3D461D73510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xmlns:c15="http://schemas.microsoft.com/office/drawing/2012/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'Dis Misc'!$AW$9:$AW$11</c:f>
              <c:numCache>
                <c:formatCode>General</c:formatCode>
                <c:ptCount val="3"/>
                <c:pt idx="0">
                  <c:v>0.17097688404202416</c:v>
                </c:pt>
                <c:pt idx="1">
                  <c:v>22.165524321490235</c:v>
                </c:pt>
                <c:pt idx="2">
                  <c:v>19.791050572219756</c:v>
                </c:pt>
              </c:numCache>
            </c:numRef>
          </c:xVal>
          <c:yVal>
            <c:numRef>
              <c:f>'Dis Misc'!$AZ$9:$AZ$11</c:f>
              <c:numCache>
                <c:formatCode>General</c:formatCode>
                <c:ptCount val="3"/>
                <c:pt idx="0">
                  <c:v>2.5</c:v>
                </c:pt>
                <c:pt idx="1">
                  <c:v>1.5</c:v>
                </c:pt>
                <c:pt idx="2">
                  <c:v>0.5</c:v>
                </c:pt>
              </c:numCache>
            </c:numRef>
          </c:yVal>
          <c:smooth val="0"/>
          <c:extLst xmlns:c15="http://schemas.microsoft.com/office/drawing/2012/chart">
            <c:ext xmlns:c15="http://schemas.microsoft.com/office/drawing/2012/chart" uri="{02D57815-91ED-43cb-92C2-25804820EDAC}">
              <c15:datalabelsRange>
                <c15:f>{"","","","","","","","","","","","","","",""}</c15:f>
                <c15:dlblRangeCache>
                  <c:ptCount val="15"/>
                </c15:dlblRangeCache>
              </c15:datalabelsRange>
            </c:ext>
            <c:ext xmlns:c16="http://schemas.microsoft.com/office/drawing/2014/chart" uri="{C3380CC4-5D6E-409C-BE32-E72D297353CC}">
              <c16:uniqueId val="{00000008-29E2-408E-B91E-3D461D73510A}"/>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Odds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0" i="0" u="none" strike="noStrike" baseline="0">
                <a:solidFill>
                  <a:srgbClr val="000000"/>
                </a:solidFill>
                <a:latin typeface="Arial"/>
                <a:ea typeface="Arial"/>
                <a:cs typeface="Arial"/>
              </a:defRPr>
            </a:pPr>
            <a:r>
              <a:rPr lang="en-US" sz="950" b="1" i="0" u="none" strike="noStrike" baseline="0">
                <a:solidFill>
                  <a:srgbClr val="000000"/>
                </a:solidFill>
                <a:latin typeface="Arial" pitchFamily="2" charset="0"/>
                <a:cs typeface="Arial" pitchFamily="2" charset="0"/>
              </a:rPr>
              <a:t>Chosen p</a:t>
            </a:r>
            <a:r>
              <a:rPr lang="en-US" sz="950" b="1" i="0" u="none" strike="noStrike" baseline="-25000">
                <a:solidFill>
                  <a:srgbClr val="000000"/>
                </a:solidFill>
                <a:latin typeface="Arial" pitchFamily="2" charset="0"/>
                <a:cs typeface="Arial" pitchFamily="2" charset="0"/>
              </a:rPr>
              <a:t>1</a:t>
            </a:r>
          </a:p>
        </c:rich>
      </c:tx>
      <c:layout>
        <c:manualLayout>
          <c:xMode val="edge"/>
          <c:yMode val="edge"/>
          <c:x val="0.38513522766175967"/>
          <c:y val="2.9940479880959762E-2"/>
        </c:manualLayout>
      </c:layout>
      <c:overlay val="0"/>
      <c:spPr>
        <a:noFill/>
        <a:ln w="25400">
          <a:noFill/>
        </a:ln>
      </c:spPr>
    </c:title>
    <c:autoTitleDeleted val="0"/>
    <c:plotArea>
      <c:layout>
        <c:manualLayout>
          <c:layoutTarget val="inner"/>
          <c:xMode val="edge"/>
          <c:yMode val="edge"/>
          <c:x val="0.10135135135135136"/>
          <c:y val="0.10778443113772455"/>
          <c:w val="0.82432432432432434"/>
          <c:h val="0.53293413173652693"/>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'Unmeas Conf'!$AG$4:$AG$53</c:f>
              <c:numCache>
                <c:formatCode>General</c:formatCode>
                <c:ptCount val="50"/>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numCache>
            </c:numRef>
          </c:cat>
          <c:val>
            <c:numRef>
              <c:f>'Unmeas Conf'!$AH$4:$AH$53</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c:v>
                </c:pt>
                <c:pt idx="37">
                  <c:v>5</c:v>
                </c:pt>
                <c:pt idx="38">
                  <c:v>10</c:v>
                </c:pt>
                <c:pt idx="39">
                  <c:v>19</c:v>
                </c:pt>
                <c:pt idx="40">
                  <c:v>18</c:v>
                </c:pt>
                <c:pt idx="41">
                  <c:v>14</c:v>
                </c:pt>
                <c:pt idx="42">
                  <c:v>10</c:v>
                </c:pt>
                <c:pt idx="43">
                  <c:v>10</c:v>
                </c:pt>
                <c:pt idx="44">
                  <c:v>5</c:v>
                </c:pt>
                <c:pt idx="45">
                  <c:v>7</c:v>
                </c:pt>
                <c:pt idx="46">
                  <c:v>0</c:v>
                </c:pt>
                <c:pt idx="47">
                  <c:v>0</c:v>
                </c:pt>
                <c:pt idx="48">
                  <c:v>0</c:v>
                </c:pt>
                <c:pt idx="49">
                  <c:v>0</c:v>
                </c:pt>
              </c:numCache>
            </c:numRef>
          </c:val>
          <c:extLst>
            <c:ext xmlns:c16="http://schemas.microsoft.com/office/drawing/2014/chart" uri="{C3380CC4-5D6E-409C-BE32-E72D297353CC}">
              <c16:uniqueId val="{00000000-6286-E14F-AA95-F4E2EFB99C66}"/>
            </c:ext>
          </c:extLst>
        </c:ser>
        <c:dLbls>
          <c:showLegendKey val="0"/>
          <c:showVal val="0"/>
          <c:showCatName val="0"/>
          <c:showSerName val="0"/>
          <c:showPercent val="0"/>
          <c:showBubbleSize val="0"/>
        </c:dLbls>
        <c:gapWidth val="0"/>
        <c:axId val="1437717887"/>
        <c:axId val="1"/>
      </c:barChart>
      <c:catAx>
        <c:axId val="1437717887"/>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5"/>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37717887"/>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Calibri"/>
                <a:ea typeface="Calibri"/>
                <a:cs typeface="Calibri"/>
              </a:defRPr>
            </a:pPr>
            <a:r>
              <a:rPr lang="en-US"/>
              <a:t>Chosen p0</a:t>
            </a:r>
          </a:p>
        </c:rich>
      </c:tx>
      <c:layout>
        <c:manualLayout>
          <c:xMode val="edge"/>
          <c:yMode val="edge"/>
          <c:x val="0.37818166716502205"/>
          <c:y val="2.9761934055118112E-2"/>
        </c:manualLayout>
      </c:layout>
      <c:overlay val="0"/>
      <c:spPr>
        <a:noFill/>
        <a:ln w="25400">
          <a:noFill/>
        </a:ln>
      </c:spPr>
    </c:title>
    <c:autoTitleDeleted val="0"/>
    <c:plotArea>
      <c:layout>
        <c:manualLayout>
          <c:layoutTarget val="inner"/>
          <c:xMode val="edge"/>
          <c:yMode val="edge"/>
          <c:x val="0.10909090909090909"/>
          <c:y val="0.10714347995419431"/>
          <c:w val="0.87636363636363634"/>
          <c:h val="0.53571739977097155"/>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'Unmeas Conf'!$AG$4:$AG$53</c:f>
              <c:numCache>
                <c:formatCode>General</c:formatCode>
                <c:ptCount val="50"/>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numCache>
            </c:numRef>
          </c:cat>
          <c:val>
            <c:numRef>
              <c:f>'Unmeas Conf'!$AI$4:$AI$53</c:f>
              <c:numCache>
                <c:formatCode>General</c:formatCode>
                <c:ptCount val="50"/>
                <c:pt idx="0">
                  <c:v>0</c:v>
                </c:pt>
                <c:pt idx="1">
                  <c:v>0</c:v>
                </c:pt>
                <c:pt idx="2">
                  <c:v>7</c:v>
                </c:pt>
                <c:pt idx="3">
                  <c:v>48</c:v>
                </c:pt>
                <c:pt idx="4">
                  <c:v>31</c:v>
                </c:pt>
                <c:pt idx="5">
                  <c:v>14</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0-E3B7-D143-B5C0-4F839B163895}"/>
            </c:ext>
          </c:extLst>
        </c:ser>
        <c:dLbls>
          <c:showLegendKey val="0"/>
          <c:showVal val="0"/>
          <c:showCatName val="0"/>
          <c:showSerName val="0"/>
          <c:showPercent val="0"/>
          <c:showBubbleSize val="0"/>
        </c:dLbls>
        <c:gapWidth val="0"/>
        <c:axId val="1452498031"/>
        <c:axId val="1"/>
      </c:barChart>
      <c:catAx>
        <c:axId val="1452498031"/>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5"/>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52498031"/>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Calibri"/>
                <a:ea typeface="Calibri"/>
                <a:cs typeface="Calibri"/>
              </a:defRPr>
            </a:pPr>
            <a:r>
              <a:rPr lang="en-US"/>
              <a:t>Chosen RRCD</a:t>
            </a:r>
          </a:p>
        </c:rich>
      </c:tx>
      <c:layout>
        <c:manualLayout>
          <c:xMode val="edge"/>
          <c:yMode val="edge"/>
          <c:x val="0.34285714285714286"/>
          <c:y val="3.1847112860892389E-2"/>
        </c:manualLayout>
      </c:layout>
      <c:overlay val="0"/>
      <c:spPr>
        <a:noFill/>
        <a:ln w="25400">
          <a:noFill/>
        </a:ln>
      </c:spPr>
    </c:title>
    <c:autoTitleDeleted val="0"/>
    <c:plotArea>
      <c:layout>
        <c:manualLayout>
          <c:layoutTarget val="inner"/>
          <c:xMode val="edge"/>
          <c:yMode val="edge"/>
          <c:x val="0.12244897959183673"/>
          <c:y val="0.11465003809849628"/>
          <c:w val="0.86122448979591837"/>
          <c:h val="0.53503351112631592"/>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'Unmeas Conf'!$AK$4:$AK$104</c:f>
              <c:numCache>
                <c:formatCode>General</c:formatCode>
                <c:ptCount val="10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pt idx="51">
                  <c:v>5.0999999999999979</c:v>
                </c:pt>
                <c:pt idx="52">
                  <c:v>5.1999999999999975</c:v>
                </c:pt>
                <c:pt idx="53">
                  <c:v>5.2999999999999972</c:v>
                </c:pt>
                <c:pt idx="54">
                  <c:v>5.3999999999999968</c:v>
                </c:pt>
                <c:pt idx="55">
                  <c:v>5.4999999999999964</c:v>
                </c:pt>
                <c:pt idx="56">
                  <c:v>5.5999999999999961</c:v>
                </c:pt>
                <c:pt idx="57">
                  <c:v>5.6999999999999957</c:v>
                </c:pt>
                <c:pt idx="58">
                  <c:v>5.7999999999999954</c:v>
                </c:pt>
                <c:pt idx="59">
                  <c:v>5.899999999999995</c:v>
                </c:pt>
                <c:pt idx="60">
                  <c:v>5.9999999999999947</c:v>
                </c:pt>
                <c:pt idx="61">
                  <c:v>6.0999999999999943</c:v>
                </c:pt>
                <c:pt idx="62">
                  <c:v>6.199999999999994</c:v>
                </c:pt>
                <c:pt idx="63">
                  <c:v>6.2999999999999936</c:v>
                </c:pt>
                <c:pt idx="64">
                  <c:v>6.3999999999999932</c:v>
                </c:pt>
                <c:pt idx="65">
                  <c:v>6.4999999999999929</c:v>
                </c:pt>
                <c:pt idx="66">
                  <c:v>6.5999999999999925</c:v>
                </c:pt>
                <c:pt idx="67">
                  <c:v>6.6999999999999922</c:v>
                </c:pt>
                <c:pt idx="68">
                  <c:v>6.7999999999999918</c:v>
                </c:pt>
                <c:pt idx="69">
                  <c:v>6.8999999999999915</c:v>
                </c:pt>
                <c:pt idx="70">
                  <c:v>6.9999999999999911</c:v>
                </c:pt>
                <c:pt idx="71">
                  <c:v>7.0999999999999908</c:v>
                </c:pt>
                <c:pt idx="72">
                  <c:v>7.1999999999999904</c:v>
                </c:pt>
                <c:pt idx="73">
                  <c:v>7.2999999999999901</c:v>
                </c:pt>
                <c:pt idx="74">
                  <c:v>7.3999999999999897</c:v>
                </c:pt>
                <c:pt idx="75">
                  <c:v>7.4999999999999893</c:v>
                </c:pt>
                <c:pt idx="76">
                  <c:v>7.599999999999989</c:v>
                </c:pt>
                <c:pt idx="77">
                  <c:v>7.6999999999999886</c:v>
                </c:pt>
                <c:pt idx="78">
                  <c:v>7.7999999999999883</c:v>
                </c:pt>
                <c:pt idx="79">
                  <c:v>7.8999999999999879</c:v>
                </c:pt>
                <c:pt idx="80">
                  <c:v>7.9999999999999876</c:v>
                </c:pt>
                <c:pt idx="81">
                  <c:v>8.0999999999999872</c:v>
                </c:pt>
                <c:pt idx="82">
                  <c:v>8.1999999999999869</c:v>
                </c:pt>
                <c:pt idx="83">
                  <c:v>8.2999999999999865</c:v>
                </c:pt>
                <c:pt idx="84">
                  <c:v>8.3999999999999861</c:v>
                </c:pt>
                <c:pt idx="85">
                  <c:v>8.4999999999999858</c:v>
                </c:pt>
                <c:pt idx="86">
                  <c:v>8.5999999999999854</c:v>
                </c:pt>
                <c:pt idx="87">
                  <c:v>8.6999999999999851</c:v>
                </c:pt>
                <c:pt idx="88">
                  <c:v>8.7999999999999847</c:v>
                </c:pt>
                <c:pt idx="89">
                  <c:v>8.8999999999999844</c:v>
                </c:pt>
                <c:pt idx="90">
                  <c:v>8.999999999999984</c:v>
                </c:pt>
                <c:pt idx="91">
                  <c:v>9.0999999999999837</c:v>
                </c:pt>
                <c:pt idx="92">
                  <c:v>9.1999999999999833</c:v>
                </c:pt>
                <c:pt idx="93">
                  <c:v>9.2999999999999829</c:v>
                </c:pt>
                <c:pt idx="94">
                  <c:v>9.3999999999999826</c:v>
                </c:pt>
                <c:pt idx="95">
                  <c:v>9.4999999999999822</c:v>
                </c:pt>
                <c:pt idx="96">
                  <c:v>9.5999999999999819</c:v>
                </c:pt>
                <c:pt idx="97">
                  <c:v>9.6999999999999815</c:v>
                </c:pt>
                <c:pt idx="98">
                  <c:v>9.7999999999999812</c:v>
                </c:pt>
                <c:pt idx="99">
                  <c:v>9.8999999999999808</c:v>
                </c:pt>
                <c:pt idx="100">
                  <c:v>9.9999999999999805</c:v>
                </c:pt>
              </c:numCache>
            </c:numRef>
          </c:cat>
          <c:val>
            <c:numRef>
              <c:f>'Unmeas Conf'!$AJ$4:$AJ$104</c:f>
              <c:numCache>
                <c:formatCode>General</c:formatCode>
                <c:ptCount val="101"/>
                <c:pt idx="0">
                  <c:v>0</c:v>
                </c:pt>
                <c:pt idx="1">
                  <c:v>0</c:v>
                </c:pt>
                <c:pt idx="2">
                  <c:v>0</c:v>
                </c:pt>
                <c:pt idx="3">
                  <c:v>0</c:v>
                </c:pt>
                <c:pt idx="4">
                  <c:v>0</c:v>
                </c:pt>
                <c:pt idx="5">
                  <c:v>0</c:v>
                </c:pt>
                <c:pt idx="6">
                  <c:v>24</c:v>
                </c:pt>
                <c:pt idx="7">
                  <c:v>56</c:v>
                </c:pt>
                <c:pt idx="8">
                  <c:v>20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9A5C-8143-A91B-38E655946349}"/>
            </c:ext>
          </c:extLst>
        </c:ser>
        <c:dLbls>
          <c:showLegendKey val="0"/>
          <c:showVal val="0"/>
          <c:showCatName val="0"/>
          <c:showSerName val="0"/>
          <c:showPercent val="0"/>
          <c:showBubbleSize val="0"/>
        </c:dLbls>
        <c:gapWidth val="0"/>
        <c:axId val="1436848287"/>
        <c:axId val="1"/>
      </c:barChart>
      <c:catAx>
        <c:axId val="1436848287"/>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1"/>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36848287"/>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5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'Unmeas Conf'!$AU$2</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'Unmeas Conf'!$AW$3:$AW$5</c:f>
                <c:numCache>
                  <c:formatCode>General</c:formatCode>
                  <c:ptCount val="3"/>
                  <c:pt idx="0">
                    <c:v>9.1128481298439923E-2</c:v>
                  </c:pt>
                  <c:pt idx="1">
                    <c:v>5.8509011984083203E-2</c:v>
                  </c:pt>
                  <c:pt idx="2">
                    <c:v>0.18825206160502828</c:v>
                  </c:pt>
                </c:numCache>
              </c:numRef>
            </c:plus>
            <c:minus>
              <c:numRef>
                <c:f>'Unmeas Conf'!$AV$3:$AV$5</c:f>
                <c:numCache>
                  <c:formatCode>General</c:formatCode>
                  <c:ptCount val="3"/>
                  <c:pt idx="0">
                    <c:v>7.221373076806531E-2</c:v>
                  </c:pt>
                  <c:pt idx="1">
                    <c:v>6.1737887901127164E-2</c:v>
                  </c:pt>
                  <c:pt idx="2">
                    <c:v>0.15408803064189824</c:v>
                  </c:pt>
                </c:numCache>
              </c:numRef>
            </c:minus>
            <c:spPr>
              <a:noFill/>
              <a:ln w="19050" cap="flat" cmpd="sng" algn="ctr">
                <a:solidFill>
                  <a:schemeClr val="tx1">
                    <a:lumMod val="65000"/>
                    <a:lumOff val="35000"/>
                  </a:schemeClr>
                </a:solidFill>
                <a:round/>
              </a:ln>
              <a:effectLst/>
            </c:spPr>
          </c:errBars>
          <c:xVal>
            <c:numRef>
              <c:f>'Unmeas Conf'!$AU$3:$AU$5</c:f>
              <c:numCache>
                <c:formatCode>General</c:formatCode>
                <c:ptCount val="3"/>
                <c:pt idx="0">
                  <c:v>0.34791511541325393</c:v>
                </c:pt>
                <c:pt idx="1">
                  <c:v>0.47898156196657327</c:v>
                </c:pt>
                <c:pt idx="2">
                  <c:v>0.47819365642824141</c:v>
                </c:pt>
              </c:numCache>
            </c:numRef>
          </c:xVal>
          <c:yVal>
            <c:numRef>
              <c:f>'Unmeas Conf'!$AZ$3:$AZ$5</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94BC-4DC8-BEC0-051710F0B0DF}"/>
            </c:ext>
          </c:extLst>
        </c:ser>
        <c:ser>
          <c:idx val="1"/>
          <c:order val="1"/>
          <c:tx>
            <c:strRef>
              <c:f>'Unmeas Conf'!$AV$2</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1122155D-DCDC-4A09-A112-4EA10D8A236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94BC-4DC8-BEC0-051710F0B0DF}"/>
                </c:ext>
              </c:extLst>
            </c:dLbl>
            <c:dLbl>
              <c:idx val="1"/>
              <c:layout>
                <c:manualLayout>
                  <c:x val="-0.56304918360115297"/>
                  <c:y val="-2.4117389017283305E-3"/>
                </c:manualLayout>
              </c:layout>
              <c:tx>
                <c:rich>
                  <a:bodyPr/>
                  <a:lstStyle/>
                  <a:p>
                    <a:fld id="{4BB05F7E-C7A2-4BF4-8AE8-132693BDD8F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94BC-4DC8-BEC0-051710F0B0DF}"/>
                </c:ext>
              </c:extLst>
            </c:dLbl>
            <c:dLbl>
              <c:idx val="2"/>
              <c:layout>
                <c:manualLayout>
                  <c:x val="-0.63806926202340453"/>
                  <c:y val="-7.2351197216069009E-3"/>
                </c:manualLayout>
              </c:layout>
              <c:tx>
                <c:rich>
                  <a:bodyPr/>
                  <a:lstStyle/>
                  <a:p>
                    <a:fld id="{B4AC0288-B89A-4AEF-B215-11545298888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94BC-4DC8-BEC0-051710F0B0D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'Unmeas Conf'!$AV$3:$AV$5</c:f>
              <c:numCache>
                <c:formatCode>General</c:formatCode>
                <c:ptCount val="3"/>
                <c:pt idx="0">
                  <c:v>7.221373076806531E-2</c:v>
                </c:pt>
                <c:pt idx="1">
                  <c:v>6.1737887901127164E-2</c:v>
                </c:pt>
                <c:pt idx="2" formatCode="0.00000">
                  <c:v>0.15408803064189824</c:v>
                </c:pt>
              </c:numCache>
            </c:numRef>
          </c:xVal>
          <c:yVal>
            <c:numRef>
              <c:f>'Unmeas Conf'!$AZ$3:$AZ$5</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94BC-4DC8-BEC0-051710F0B0DF}"/>
            </c:ext>
          </c:extLst>
        </c:ser>
        <c:ser>
          <c:idx val="2"/>
          <c:order val="2"/>
          <c:tx>
            <c:strRef>
              <c:f>'Unmeas Conf'!$AW$2</c:f>
              <c:strCache>
                <c:ptCount val="1"/>
                <c:pt idx="0">
                  <c:v>Upper</c:v>
                </c:pt>
              </c:strCache>
            </c:strRef>
          </c:tx>
          <c:spPr>
            <a:ln w="25400" cap="rnd">
              <a:noFill/>
              <a:round/>
            </a:ln>
            <a:effectLst/>
          </c:spPr>
          <c:marker>
            <c:symbol val="circle"/>
            <c:size val="5"/>
            <c:spPr>
              <a:noFill/>
              <a:ln w="9525">
                <a:noFill/>
              </a:ln>
              <a:effectLst/>
            </c:spPr>
          </c:marker>
          <c:xVal>
            <c:numRef>
              <c:f>'Unmeas Conf'!$AW$3:$AW$5</c:f>
              <c:numCache>
                <c:formatCode>General</c:formatCode>
                <c:ptCount val="3"/>
                <c:pt idx="0">
                  <c:v>9.1128481298439923E-2</c:v>
                </c:pt>
                <c:pt idx="1">
                  <c:v>5.8509011984083203E-2</c:v>
                </c:pt>
                <c:pt idx="2" formatCode="0.00000">
                  <c:v>0.18825206160502828</c:v>
                </c:pt>
              </c:numCache>
            </c:numRef>
          </c:xVal>
          <c:yVal>
            <c:numRef>
              <c:f>'Unmeas Conf'!$AZ$3:$AZ$5</c:f>
              <c:numCache>
                <c:formatCode>General</c:formatCode>
                <c:ptCount val="3"/>
                <c:pt idx="0">
                  <c:v>2.5</c:v>
                </c:pt>
                <c:pt idx="1">
                  <c:v>1.5</c:v>
                </c:pt>
                <c:pt idx="2">
                  <c:v>0.5</c:v>
                </c:pt>
              </c:numCache>
            </c:numRef>
          </c:yVal>
          <c:smooth val="0"/>
          <c:extLst xmlns:c15="http://schemas.microsoft.com/office/drawing/2012/chart">
            <c:ext xmlns:c16="http://schemas.microsoft.com/office/drawing/2014/chart" uri="{C3380CC4-5D6E-409C-BE32-E72D297353CC}">
              <c16:uniqueId val="{00000008-94BC-4DC8-BEC0-051710F0B0DF}"/>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Risk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'Unmeas Conf'!$AU$7</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'Unmeas Conf'!$AW$8:$AW$10</c:f>
                <c:numCache>
                  <c:formatCode>General</c:formatCode>
                  <c:ptCount val="3"/>
                  <c:pt idx="0">
                    <c:v>9.4800571580730575E-2</c:v>
                  </c:pt>
                  <c:pt idx="1">
                    <c:v>5.3161788545039668E-2</c:v>
                  </c:pt>
                  <c:pt idx="2">
                    <c:v>0.3496635043609041</c:v>
                  </c:pt>
                </c:numCache>
              </c:numRef>
            </c:plus>
            <c:minus>
              <c:numRef>
                <c:f>'Unmeas Conf'!$AV$8:$AV$10</c:f>
                <c:numCache>
                  <c:formatCode>General</c:formatCode>
                  <c:ptCount val="3"/>
                  <c:pt idx="0">
                    <c:v>6.6068695666542276E-2</c:v>
                  </c:pt>
                  <c:pt idx="1">
                    <c:v>5.1605436519670533E-2</c:v>
                  </c:pt>
                  <c:pt idx="2">
                    <c:v>0.11462814913290448</c:v>
                  </c:pt>
                </c:numCache>
              </c:numRef>
            </c:minus>
            <c:spPr>
              <a:noFill/>
              <a:ln w="19050" cap="flat" cmpd="sng" algn="ctr">
                <a:solidFill>
                  <a:schemeClr val="tx1">
                    <a:lumMod val="65000"/>
                    <a:lumOff val="35000"/>
                  </a:schemeClr>
                </a:solidFill>
                <a:round/>
              </a:ln>
              <a:effectLst/>
            </c:spPr>
          </c:errBars>
          <c:xVal>
            <c:numRef>
              <c:f>'Unmeas Conf'!$AU$8:$AU$10</c:f>
              <c:numCache>
                <c:formatCode>General</c:formatCode>
                <c:ptCount val="3"/>
                <c:pt idx="0">
                  <c:v>0.2179930795847751</c:v>
                </c:pt>
                <c:pt idx="1">
                  <c:v>0.32468816580618398</c:v>
                </c:pt>
                <c:pt idx="2">
                  <c:v>0.31678221367236559</c:v>
                </c:pt>
              </c:numCache>
            </c:numRef>
          </c:xVal>
          <c:yVal>
            <c:numRef>
              <c:f>'Unmeas Conf'!$AZ$8:$AZ$10</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DF24-43CA-9E76-8341D8849CF0}"/>
            </c:ext>
          </c:extLst>
        </c:ser>
        <c:ser>
          <c:idx val="1"/>
          <c:order val="1"/>
          <c:tx>
            <c:strRef>
              <c:f>'Unmeas Conf'!$AV$2</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8F1F06FC-0859-4D98-9B7D-3A5D591CCA7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DF24-43CA-9E76-8341D8849CF0}"/>
                </c:ext>
              </c:extLst>
            </c:dLbl>
            <c:dLbl>
              <c:idx val="1"/>
              <c:layout>
                <c:manualLayout>
                  <c:x val="-0.56304918360115297"/>
                  <c:y val="-2.4117389017283305E-3"/>
                </c:manualLayout>
              </c:layout>
              <c:tx>
                <c:rich>
                  <a:bodyPr/>
                  <a:lstStyle/>
                  <a:p>
                    <a:fld id="{ED036CBC-D192-40F2-BB65-56B19076683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DF24-43CA-9E76-8341D8849CF0}"/>
                </c:ext>
              </c:extLst>
            </c:dLbl>
            <c:dLbl>
              <c:idx val="2"/>
              <c:layout>
                <c:manualLayout>
                  <c:x val="-0.63404881211027364"/>
                  <c:y val="4.3930782617399126E-3"/>
                </c:manualLayout>
              </c:layout>
              <c:tx>
                <c:rich>
                  <a:bodyPr/>
                  <a:lstStyle/>
                  <a:p>
                    <a:fld id="{6144D45F-4E0E-460F-A69A-E2F92D1D0C4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DF24-43CA-9E76-8341D8849C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'Unmeas Conf'!$AV$3:$AV$5</c:f>
              <c:numCache>
                <c:formatCode>General</c:formatCode>
                <c:ptCount val="3"/>
                <c:pt idx="0">
                  <c:v>7.221373076806531E-2</c:v>
                </c:pt>
                <c:pt idx="1">
                  <c:v>6.1737887901127164E-2</c:v>
                </c:pt>
                <c:pt idx="2" formatCode="0.00000">
                  <c:v>0.15408803064189824</c:v>
                </c:pt>
              </c:numCache>
            </c:numRef>
          </c:xVal>
          <c:yVal>
            <c:numRef>
              <c:f>'Unmeas Conf'!$AZ$3:$AZ$5</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DF24-43CA-9E76-8341D8849CF0}"/>
            </c:ext>
          </c:extLst>
        </c:ser>
        <c:ser>
          <c:idx val="2"/>
          <c:order val="2"/>
          <c:tx>
            <c:strRef>
              <c:f>'Unmeas Conf'!$AW$7</c:f>
              <c:strCache>
                <c:ptCount val="1"/>
                <c:pt idx="0">
                  <c:v>Upper</c:v>
                </c:pt>
              </c:strCache>
            </c:strRef>
          </c:tx>
          <c:spPr>
            <a:ln w="25400" cap="rnd">
              <a:noFill/>
              <a:round/>
            </a:ln>
            <a:effectLst/>
          </c:spPr>
          <c:marker>
            <c:symbol val="circle"/>
            <c:size val="5"/>
            <c:spPr>
              <a:noFill/>
              <a:ln w="9525">
                <a:noFill/>
              </a:ln>
              <a:effectLst/>
            </c:spPr>
          </c:marker>
          <c:dLbls>
            <c:dLbl>
              <c:idx val="0"/>
              <c:tx>
                <c:rich>
                  <a:bodyPr/>
                  <a:lstStyle/>
                  <a:p>
                    <a:fld id="{11307F80-C23C-462C-8CFF-A278C86B6ABF}" type="CELLRANGE">
                      <a:rPr lang="en-US"/>
                      <a:pPr/>
                      <a:t>[CELLRANGE]</a:t>
                    </a:fld>
                    <a:endParaRPr lang="en-US"/>
                  </a:p>
                </c:rich>
              </c:tx>
              <c:dLblPos val="l"/>
              <c:showLegendKey val="0"/>
              <c:showVal val="0"/>
              <c:showCatName val="0"/>
              <c:showSerName val="0"/>
              <c:showPercent val="0"/>
              <c:showBubbleSize val="0"/>
              <c:extLst xmlns:c15="http://schemas.microsoft.com/office/drawing/2012/chart">
                <c:ext xmlns:c15="http://schemas.microsoft.com/office/drawing/2012/chart" uri="{CE6537A1-D6FC-4f65-9D91-7224C49458BB}">
                  <c15:dlblFieldTable/>
                  <c15:showDataLabelsRange val="1"/>
                </c:ext>
                <c:ext xmlns:c16="http://schemas.microsoft.com/office/drawing/2014/chart" uri="{C3380CC4-5D6E-409C-BE32-E72D297353CC}">
                  <c16:uniqueId val="{00000005-DF24-43CA-9E76-8341D8849CF0}"/>
                </c:ext>
              </c:extLst>
            </c:dLbl>
            <c:dLbl>
              <c:idx val="1"/>
              <c:tx>
                <c:rich>
                  <a:bodyPr/>
                  <a:lstStyle/>
                  <a:p>
                    <a:fld id="{DA095B49-62ED-4609-BF9A-5ED48DD76EB8}"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DF24-43CA-9E76-8341D8849CF0}"/>
                </c:ext>
              </c:extLst>
            </c:dLbl>
            <c:dLbl>
              <c:idx val="2"/>
              <c:tx>
                <c:rich>
                  <a:bodyPr/>
                  <a:lstStyle/>
                  <a:p>
                    <a:fld id="{94934041-CCFD-4A86-B141-392120035C45}"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DF24-43CA-9E76-8341D8849CF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xmlns:c15="http://schemas.microsoft.com/office/drawing/2012/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'Unmeas Conf'!$AW$8:$AW$10</c:f>
              <c:numCache>
                <c:formatCode>General</c:formatCode>
                <c:ptCount val="3"/>
                <c:pt idx="0">
                  <c:v>9.4800571580730575E-2</c:v>
                </c:pt>
                <c:pt idx="1">
                  <c:v>5.3161788545039668E-2</c:v>
                </c:pt>
                <c:pt idx="2" formatCode="0.00000">
                  <c:v>0.3496635043609041</c:v>
                </c:pt>
              </c:numCache>
            </c:numRef>
          </c:xVal>
          <c:yVal>
            <c:numRef>
              <c:f>'Unmeas Conf'!$AZ$8:$AZ$10</c:f>
              <c:numCache>
                <c:formatCode>General</c:formatCode>
                <c:ptCount val="3"/>
                <c:pt idx="0">
                  <c:v>2.5</c:v>
                </c:pt>
                <c:pt idx="1">
                  <c:v>1.5</c:v>
                </c:pt>
                <c:pt idx="2">
                  <c:v>0.5</c:v>
                </c:pt>
              </c:numCache>
            </c:numRef>
          </c:yVal>
          <c:smooth val="0"/>
          <c:extLst xmlns:c15="http://schemas.microsoft.com/office/drawing/2012/chart">
            <c:ext xmlns:c15="http://schemas.microsoft.com/office/drawing/2012/chart" uri="{02D57815-91ED-43cb-92C2-25804820EDAC}">
              <c15:datalabelsRange>
                <c15:f>{"","","","","","","","","","","","","","",""}</c15:f>
                <c15:dlblRangeCache>
                  <c:ptCount val="15"/>
                </c15:dlblRangeCache>
              </c15:datalabelsRange>
            </c:ext>
            <c:ext xmlns:c16="http://schemas.microsoft.com/office/drawing/2014/chart" uri="{C3380CC4-5D6E-409C-BE32-E72D297353CC}">
              <c16:uniqueId val="{00000008-DF24-43CA-9E76-8341D8849CF0}"/>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Odds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solidFill>
                  <a:schemeClr val="tx1"/>
                </a:solidFill>
              </a:rPr>
              <a:t>Chosen</a:t>
            </a:r>
            <a:r>
              <a:rPr lang="en-US" baseline="0">
                <a:solidFill>
                  <a:schemeClr val="tx1"/>
                </a:solidFill>
              </a:rPr>
              <a:t> S1,1</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numRef>
              <c:f>'Sel Bias'!$AM$4:$AM$54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'Sel Bias'!$AN$4:$AN$54</c:f>
              <c:numCache>
                <c:formatCode>General</c:formatCode>
                <c:ptCount val="51"/>
                <c:pt idx="0">
                  <c:v>0</c:v>
                </c:pt>
                <c:pt idx="1">
                  <c:v>0</c:v>
                </c:pt>
                <c:pt idx="2">
                  <c:v>0</c:v>
                </c:pt>
                <c:pt idx="3">
                  <c:v>0</c:v>
                </c:pt>
                <c:pt idx="4">
                  <c:v>0</c:v>
                </c:pt>
                <c:pt idx="5">
                  <c:v>0</c:v>
                </c:pt>
                <c:pt idx="6">
                  <c:v>0</c:v>
                </c:pt>
                <c:pt idx="7">
                  <c:v>0</c:v>
                </c:pt>
                <c:pt idx="8">
                  <c:v>0</c:v>
                </c:pt>
                <c:pt idx="9">
                  <c:v>1</c:v>
                </c:pt>
                <c:pt idx="10">
                  <c:v>0</c:v>
                </c:pt>
                <c:pt idx="11">
                  <c:v>0</c:v>
                </c:pt>
                <c:pt idx="12">
                  <c:v>1</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extLst>
            <c:ext xmlns:c16="http://schemas.microsoft.com/office/drawing/2014/chart" uri="{C3380CC4-5D6E-409C-BE32-E72D297353CC}">
              <c16:uniqueId val="{00000000-E0B8-FD40-82DB-F1BA99E0F0E1}"/>
            </c:ext>
          </c:extLst>
        </c:ser>
        <c:dLbls>
          <c:showLegendKey val="0"/>
          <c:showVal val="0"/>
          <c:showCatName val="0"/>
          <c:showSerName val="0"/>
          <c:showPercent val="0"/>
          <c:showBubbleSize val="0"/>
        </c:dLbls>
        <c:gapWidth val="25"/>
        <c:overlap val="21"/>
        <c:axId val="1289414896"/>
        <c:axId val="1288854016"/>
      </c:barChart>
      <c:catAx>
        <c:axId val="128941489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88854016"/>
        <c:crosses val="autoZero"/>
        <c:auto val="1"/>
        <c:lblAlgn val="ctr"/>
        <c:lblOffset val="100"/>
        <c:noMultiLvlLbl val="0"/>
      </c:catAx>
      <c:valAx>
        <c:axId val="1288854016"/>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894148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solidFill>
                  <a:schemeClr val="tx1"/>
                </a:solidFill>
              </a:rPr>
              <a:t>Chosen</a:t>
            </a:r>
            <a:r>
              <a:rPr lang="en-US" baseline="0">
                <a:solidFill>
                  <a:schemeClr val="tx1"/>
                </a:solidFill>
              </a:rPr>
              <a:t> S1,0</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numRef>
              <c:f>'Sel Bias'!$AM$4:$AM$54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'Sel Bias'!$AO$4:$AO$54</c:f>
              <c:numCache>
                <c:formatCode>General</c:formatCode>
                <c:ptCount val="51"/>
                <c:pt idx="0">
                  <c:v>0</c:v>
                </c:pt>
                <c:pt idx="1">
                  <c:v>0</c:v>
                </c:pt>
                <c:pt idx="2">
                  <c:v>0</c:v>
                </c:pt>
                <c:pt idx="3">
                  <c:v>0</c:v>
                </c:pt>
                <c:pt idx="4">
                  <c:v>0</c:v>
                </c:pt>
                <c:pt idx="5">
                  <c:v>0</c:v>
                </c:pt>
                <c:pt idx="6">
                  <c:v>0</c:v>
                </c:pt>
                <c:pt idx="7">
                  <c:v>0</c:v>
                </c:pt>
                <c:pt idx="8">
                  <c:v>0</c:v>
                </c:pt>
                <c:pt idx="9">
                  <c:v>1</c:v>
                </c:pt>
                <c:pt idx="10">
                  <c:v>0</c:v>
                </c:pt>
                <c:pt idx="11">
                  <c:v>1</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extLst>
            <c:ext xmlns:c16="http://schemas.microsoft.com/office/drawing/2014/chart" uri="{C3380CC4-5D6E-409C-BE32-E72D297353CC}">
              <c16:uniqueId val="{00000000-5A08-C34B-81FE-865F6BA0B5AC}"/>
            </c:ext>
          </c:extLst>
        </c:ser>
        <c:dLbls>
          <c:showLegendKey val="0"/>
          <c:showVal val="0"/>
          <c:showCatName val="0"/>
          <c:showSerName val="0"/>
          <c:showPercent val="0"/>
          <c:showBubbleSize val="0"/>
        </c:dLbls>
        <c:gapWidth val="25"/>
        <c:overlap val="21"/>
        <c:axId val="1289414896"/>
        <c:axId val="1288854016"/>
      </c:barChart>
      <c:catAx>
        <c:axId val="128941489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88854016"/>
        <c:crosses val="autoZero"/>
        <c:auto val="1"/>
        <c:lblAlgn val="ctr"/>
        <c:lblOffset val="100"/>
        <c:noMultiLvlLbl val="0"/>
      </c:catAx>
      <c:valAx>
        <c:axId val="1288854016"/>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894148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solidFill>
                  <a:schemeClr val="tx1"/>
                </a:solidFill>
              </a:rPr>
              <a:t>Chosen</a:t>
            </a:r>
            <a:r>
              <a:rPr lang="en-US" baseline="0">
                <a:solidFill>
                  <a:schemeClr val="tx1"/>
                </a:solidFill>
              </a:rPr>
              <a:t> S0,1</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numRef>
              <c:f>'Sel Bias'!$AM$4:$AM$54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'Sel Bias'!$AP$4:$AP$54</c:f>
              <c:numCache>
                <c:formatCode>General</c:formatCode>
                <c:ptCount val="51"/>
                <c:pt idx="0">
                  <c:v>0</c:v>
                </c:pt>
                <c:pt idx="1">
                  <c:v>0</c:v>
                </c:pt>
                <c:pt idx="2">
                  <c:v>0</c:v>
                </c:pt>
                <c:pt idx="3">
                  <c:v>0</c:v>
                </c:pt>
                <c:pt idx="4">
                  <c:v>0</c:v>
                </c:pt>
                <c:pt idx="5">
                  <c:v>0</c:v>
                </c:pt>
                <c:pt idx="6">
                  <c:v>0</c:v>
                </c:pt>
                <c:pt idx="7">
                  <c:v>0</c:v>
                </c:pt>
                <c:pt idx="8">
                  <c:v>0</c:v>
                </c:pt>
                <c:pt idx="9">
                  <c:v>2</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extLst>
            <c:ext xmlns:c16="http://schemas.microsoft.com/office/drawing/2014/chart" uri="{C3380CC4-5D6E-409C-BE32-E72D297353CC}">
              <c16:uniqueId val="{00000000-9A5C-7349-AAD7-4AE2EBA37E8B}"/>
            </c:ext>
          </c:extLst>
        </c:ser>
        <c:dLbls>
          <c:showLegendKey val="0"/>
          <c:showVal val="0"/>
          <c:showCatName val="0"/>
          <c:showSerName val="0"/>
          <c:showPercent val="0"/>
          <c:showBubbleSize val="0"/>
        </c:dLbls>
        <c:gapWidth val="25"/>
        <c:overlap val="21"/>
        <c:axId val="1289414896"/>
        <c:axId val="1288854016"/>
      </c:barChart>
      <c:catAx>
        <c:axId val="128941489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88854016"/>
        <c:crosses val="autoZero"/>
        <c:auto val="1"/>
        <c:lblAlgn val="ctr"/>
        <c:lblOffset val="100"/>
        <c:noMultiLvlLbl val="0"/>
      </c:catAx>
      <c:valAx>
        <c:axId val="1288854016"/>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894148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solidFill>
                  <a:schemeClr val="tx1"/>
                </a:solidFill>
              </a:rPr>
              <a:t>Chosen</a:t>
            </a:r>
            <a:r>
              <a:rPr lang="en-US" baseline="0">
                <a:solidFill>
                  <a:schemeClr val="tx1"/>
                </a:solidFill>
              </a:rPr>
              <a:t> S0,0</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numRef>
              <c:f>'Sel Bias'!$AM$4:$AM$54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'Sel Bias'!$AQ$4:$AQ$54</c:f>
              <c:numCache>
                <c:formatCode>General</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c:v>
                </c:pt>
                <c:pt idx="15">
                  <c:v>1</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extLst>
            <c:ext xmlns:c16="http://schemas.microsoft.com/office/drawing/2014/chart" uri="{C3380CC4-5D6E-409C-BE32-E72D297353CC}">
              <c16:uniqueId val="{00000000-C4B2-F648-B77A-5F15E2CB97C6}"/>
            </c:ext>
          </c:extLst>
        </c:ser>
        <c:dLbls>
          <c:showLegendKey val="0"/>
          <c:showVal val="0"/>
          <c:showCatName val="0"/>
          <c:showSerName val="0"/>
          <c:showPercent val="0"/>
          <c:showBubbleSize val="0"/>
        </c:dLbls>
        <c:gapWidth val="25"/>
        <c:overlap val="21"/>
        <c:axId val="1289414896"/>
        <c:axId val="1288854016"/>
      </c:barChart>
      <c:catAx>
        <c:axId val="128941489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88854016"/>
        <c:crosses val="autoZero"/>
        <c:auto val="1"/>
        <c:lblAlgn val="ctr"/>
        <c:lblOffset val="100"/>
        <c:noMultiLvlLbl val="0"/>
      </c:catAx>
      <c:valAx>
        <c:axId val="1288854016"/>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894148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'Sel Bias'!$AX$2</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'Sel Bias'!$AZ$3:$AZ$5</c:f>
                <c:numCache>
                  <c:formatCode>General</c:formatCode>
                  <c:ptCount val="3"/>
                  <c:pt idx="0">
                    <c:v>0.17957244622258617</c:v>
                  </c:pt>
                  <c:pt idx="1">
                    <c:v>0.25782077840225637</c:v>
                  </c:pt>
                  <c:pt idx="2">
                    <c:v>0.23277733875591411</c:v>
                  </c:pt>
                </c:numCache>
              </c:numRef>
            </c:plus>
            <c:minus>
              <c:numRef>
                <c:f>'Sel Bias'!$AY$3:$AY$5</c:f>
                <c:numCache>
                  <c:formatCode>General</c:formatCode>
                  <c:ptCount val="3"/>
                  <c:pt idx="0">
                    <c:v>0.14660084528135742</c:v>
                  </c:pt>
                  <c:pt idx="1">
                    <c:v>0.14660513542859277</c:v>
                  </c:pt>
                  <c:pt idx="2">
                    <c:v>0.13167560229192887</c:v>
                  </c:pt>
                </c:numCache>
              </c:numRef>
            </c:minus>
            <c:spPr>
              <a:noFill/>
              <a:ln w="19050" cap="flat" cmpd="sng" algn="ctr">
                <a:solidFill>
                  <a:schemeClr val="tx1">
                    <a:lumMod val="65000"/>
                    <a:lumOff val="35000"/>
                  </a:schemeClr>
                </a:solidFill>
                <a:round/>
              </a:ln>
              <a:effectLst/>
            </c:spPr>
          </c:errBars>
          <c:xVal>
            <c:numRef>
              <c:f>'Sel Bias'!$AX$3:$AX$5</c:f>
              <c:numCache>
                <c:formatCode>General</c:formatCode>
                <c:ptCount val="3"/>
                <c:pt idx="0">
                  <c:v>0.79842869784809312</c:v>
                </c:pt>
                <c:pt idx="1">
                  <c:v>0.59468540370311174</c:v>
                </c:pt>
                <c:pt idx="2">
                  <c:v>0.62184677951841283</c:v>
                </c:pt>
              </c:numCache>
            </c:numRef>
          </c:xVal>
          <c:yVal>
            <c:numRef>
              <c:f>'Sel Bias'!$BC$3:$BC$5</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6A80-4B6A-BE20-78D50C02F174}"/>
            </c:ext>
          </c:extLst>
        </c:ser>
        <c:ser>
          <c:idx val="1"/>
          <c:order val="1"/>
          <c:tx>
            <c:strRef>
              <c:f>'Sel Bias'!$AY$2</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AEB2FD35-EEEA-4C0E-AE25-6A3B91F97BD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6A80-4B6A-BE20-78D50C02F174}"/>
                </c:ext>
              </c:extLst>
            </c:dLbl>
            <c:dLbl>
              <c:idx val="1"/>
              <c:layout>
                <c:manualLayout>
                  <c:x val="-0.56304918360115297"/>
                  <c:y val="-2.4117389017283305E-3"/>
                </c:manualLayout>
              </c:layout>
              <c:tx>
                <c:rich>
                  <a:bodyPr/>
                  <a:lstStyle/>
                  <a:p>
                    <a:fld id="{785856FD-88B9-4F6C-802D-7748BE708F6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6A80-4B6A-BE20-78D50C02F174}"/>
                </c:ext>
              </c:extLst>
            </c:dLbl>
            <c:dLbl>
              <c:idx val="2"/>
              <c:layout>
                <c:manualLayout>
                  <c:x val="-0.56569439184264037"/>
                  <c:y val="-7.2352167051849539E-3"/>
                </c:manualLayout>
              </c:layout>
              <c:tx>
                <c:rich>
                  <a:bodyPr/>
                  <a:lstStyle/>
                  <a:p>
                    <a:fld id="{C9370F82-A9D3-40CD-BF51-7956484ED4C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6A80-4B6A-BE20-78D50C02F174}"/>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'Sel Bias'!$AY$3:$AY$5</c:f>
              <c:numCache>
                <c:formatCode>General</c:formatCode>
                <c:ptCount val="3"/>
                <c:pt idx="0">
                  <c:v>0.14660084528135742</c:v>
                </c:pt>
                <c:pt idx="1">
                  <c:v>0.14660513542859277</c:v>
                </c:pt>
                <c:pt idx="2" formatCode="0.00000">
                  <c:v>0.13167560229192887</c:v>
                </c:pt>
              </c:numCache>
            </c:numRef>
          </c:xVal>
          <c:yVal>
            <c:numRef>
              <c:f>'Sel Bias'!$BC$3:$BC$5</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6A80-4B6A-BE20-78D50C02F174}"/>
            </c:ext>
          </c:extLst>
        </c:ser>
        <c:ser>
          <c:idx val="2"/>
          <c:order val="2"/>
          <c:tx>
            <c:strRef>
              <c:f>'Sel Bias'!$AZ$2</c:f>
              <c:strCache>
                <c:ptCount val="1"/>
                <c:pt idx="0">
                  <c:v>Upper</c:v>
                </c:pt>
              </c:strCache>
            </c:strRef>
          </c:tx>
          <c:spPr>
            <a:ln w="25400" cap="rnd">
              <a:noFill/>
              <a:round/>
            </a:ln>
            <a:effectLst/>
          </c:spPr>
          <c:marker>
            <c:symbol val="circle"/>
            <c:size val="5"/>
            <c:spPr>
              <a:noFill/>
              <a:ln w="9525">
                <a:noFill/>
              </a:ln>
              <a:effectLst/>
            </c:spPr>
          </c:marker>
          <c:xVal>
            <c:numRef>
              <c:f>'Sel Bias'!$AZ$3:$AZ$5</c:f>
              <c:numCache>
                <c:formatCode>General</c:formatCode>
                <c:ptCount val="3"/>
                <c:pt idx="0">
                  <c:v>0.17957244622258617</c:v>
                </c:pt>
                <c:pt idx="1">
                  <c:v>0.25782077840225637</c:v>
                </c:pt>
                <c:pt idx="2" formatCode="0.00000">
                  <c:v>0.23277733875591411</c:v>
                </c:pt>
              </c:numCache>
            </c:numRef>
          </c:xVal>
          <c:yVal>
            <c:numRef>
              <c:f>'Sel Bias'!$BC$3:$BC$5</c:f>
              <c:numCache>
                <c:formatCode>General</c:formatCode>
                <c:ptCount val="3"/>
                <c:pt idx="0">
                  <c:v>2.5</c:v>
                </c:pt>
                <c:pt idx="1">
                  <c:v>1.5</c:v>
                </c:pt>
                <c:pt idx="2">
                  <c:v>0.5</c:v>
                </c:pt>
              </c:numCache>
            </c:numRef>
          </c:yVal>
          <c:smooth val="0"/>
          <c:extLst xmlns:c15="http://schemas.microsoft.com/office/drawing/2012/chart">
            <c:ext xmlns:c16="http://schemas.microsoft.com/office/drawing/2014/chart" uri="{C3380CC4-5D6E-409C-BE32-E72D297353CC}">
              <c16:uniqueId val="{00000008-6A80-4B6A-BE20-78D50C02F174}"/>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Risk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'Sel Bias'!$AX$7</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'Sel Bias'!$AZ$8:$AZ$10</c:f>
                <c:numCache>
                  <c:formatCode>General</c:formatCode>
                  <c:ptCount val="3"/>
                  <c:pt idx="0">
                    <c:v>0.26320041865685651</c:v>
                  </c:pt>
                  <c:pt idx="1">
                    <c:v>0.35978689195943925</c:v>
                  </c:pt>
                  <c:pt idx="2">
                    <c:v>0.36301599190295275</c:v>
                  </c:pt>
                </c:numCache>
              </c:numRef>
            </c:plus>
            <c:minus>
              <c:numRef>
                <c:f>'Sel Bias'!$AY$8:$AY$10</c:f>
                <c:numCache>
                  <c:formatCode>General</c:formatCode>
                  <c:ptCount val="3"/>
                  <c:pt idx="0">
                    <c:v>0.19173387248707174</c:v>
                  </c:pt>
                  <c:pt idx="1">
                    <c:v>0.17774858720421205</c:v>
                  </c:pt>
                  <c:pt idx="2">
                    <c:v>0.1953138908912565</c:v>
                  </c:pt>
                </c:numCache>
              </c:numRef>
            </c:minus>
            <c:spPr>
              <a:noFill/>
              <a:ln w="19050" cap="flat" cmpd="sng" algn="ctr">
                <a:solidFill>
                  <a:schemeClr val="tx1">
                    <a:lumMod val="65000"/>
                    <a:lumOff val="35000"/>
                  </a:schemeClr>
                </a:solidFill>
                <a:round/>
              </a:ln>
              <a:effectLst/>
            </c:spPr>
          </c:errBars>
          <c:xVal>
            <c:numRef>
              <c:f>'Sel Bias'!$AX$8:$AX$10</c:f>
              <c:numCache>
                <c:formatCode>General</c:formatCode>
                <c:ptCount val="3"/>
                <c:pt idx="0">
                  <c:v>0.70612668743509877</c:v>
                </c:pt>
                <c:pt idx="1">
                  <c:v>0.4351536198263819</c:v>
                </c:pt>
                <c:pt idx="2">
                  <c:v>0.49738092958958302</c:v>
                </c:pt>
              </c:numCache>
            </c:numRef>
          </c:xVal>
          <c:yVal>
            <c:numRef>
              <c:f>'Sel Bias'!$BC$8:$BC$10</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C121-4CC9-A671-39B6DB05C63B}"/>
            </c:ext>
          </c:extLst>
        </c:ser>
        <c:ser>
          <c:idx val="1"/>
          <c:order val="1"/>
          <c:tx>
            <c:strRef>
              <c:f>'Sel Bias'!$AY$7</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43CE0A0C-CC9C-4E6C-B021-95F4456ECD1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C121-4CC9-A671-39B6DB05C63B}"/>
                </c:ext>
              </c:extLst>
            </c:dLbl>
            <c:dLbl>
              <c:idx val="1"/>
              <c:layout>
                <c:manualLayout>
                  <c:x val="-0.56304918360115297"/>
                  <c:y val="-2.4117389017283305E-3"/>
                </c:manualLayout>
              </c:layout>
              <c:tx>
                <c:rich>
                  <a:bodyPr/>
                  <a:lstStyle/>
                  <a:p>
                    <a:fld id="{09D037E1-F8D4-4D41-9B63-D2D24340B6A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C121-4CC9-A671-39B6DB05C63B}"/>
                </c:ext>
              </c:extLst>
            </c:dLbl>
            <c:dLbl>
              <c:idx val="2"/>
              <c:layout>
                <c:manualLayout>
                  <c:x val="-0.56569439184264037"/>
                  <c:y val="-7.2352167051849539E-3"/>
                </c:manualLayout>
              </c:layout>
              <c:tx>
                <c:rich>
                  <a:bodyPr/>
                  <a:lstStyle/>
                  <a:p>
                    <a:fld id="{A4F6480E-E374-452A-9675-B280ADD1551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C121-4CC9-A671-39B6DB05C63B}"/>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'Sel Bias'!$AY$8:$AY$10</c:f>
              <c:numCache>
                <c:formatCode>General</c:formatCode>
                <c:ptCount val="3"/>
                <c:pt idx="0">
                  <c:v>0.19173387248707174</c:v>
                </c:pt>
                <c:pt idx="1">
                  <c:v>0.17774858720421205</c:v>
                </c:pt>
                <c:pt idx="2" formatCode="0.00000">
                  <c:v>0.1953138908912565</c:v>
                </c:pt>
              </c:numCache>
            </c:numRef>
          </c:xVal>
          <c:yVal>
            <c:numRef>
              <c:f>'Sel Bias'!$BC$8:$BC$10</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C121-4CC9-A671-39B6DB05C63B}"/>
            </c:ext>
          </c:extLst>
        </c:ser>
        <c:ser>
          <c:idx val="2"/>
          <c:order val="2"/>
          <c:tx>
            <c:strRef>
              <c:f>'Sel Bias'!$AZ$7</c:f>
              <c:strCache>
                <c:ptCount val="1"/>
                <c:pt idx="0">
                  <c:v>Upper</c:v>
                </c:pt>
              </c:strCache>
            </c:strRef>
          </c:tx>
          <c:spPr>
            <a:ln w="25400" cap="rnd">
              <a:noFill/>
              <a:round/>
            </a:ln>
            <a:effectLst/>
          </c:spPr>
          <c:marker>
            <c:symbol val="circle"/>
            <c:size val="5"/>
            <c:spPr>
              <a:noFill/>
              <a:ln w="9525">
                <a:noFill/>
              </a:ln>
              <a:effectLst/>
            </c:spPr>
          </c:marker>
          <c:xVal>
            <c:numRef>
              <c:f>'Sel Bias'!$AZ$8:$AZ$10</c:f>
              <c:numCache>
                <c:formatCode>General</c:formatCode>
                <c:ptCount val="3"/>
                <c:pt idx="0">
                  <c:v>0.26320041865685651</c:v>
                </c:pt>
                <c:pt idx="1">
                  <c:v>0.35978689195943925</c:v>
                </c:pt>
                <c:pt idx="2" formatCode="0.00000">
                  <c:v>0.36301599190295275</c:v>
                </c:pt>
              </c:numCache>
            </c:numRef>
          </c:xVal>
          <c:yVal>
            <c:numRef>
              <c:f>'Sel Bias'!$BC$8:$BC$10</c:f>
              <c:numCache>
                <c:formatCode>General</c:formatCode>
                <c:ptCount val="3"/>
                <c:pt idx="0">
                  <c:v>2.5</c:v>
                </c:pt>
                <c:pt idx="1">
                  <c:v>1.5</c:v>
                </c:pt>
                <c:pt idx="2">
                  <c:v>0.5</c:v>
                </c:pt>
              </c:numCache>
            </c:numRef>
          </c:yVal>
          <c:smooth val="0"/>
          <c:extLst xmlns:c15="http://schemas.microsoft.com/office/drawing/2012/chart">
            <c:ext xmlns:c16="http://schemas.microsoft.com/office/drawing/2014/chart" uri="{C3380CC4-5D6E-409C-BE32-E72D297353CC}">
              <c16:uniqueId val="{00000008-C121-4CC9-A671-39B6DB05C63B}"/>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Odds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8.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9.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0.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5" fmlaLink="$E$12" fmlaRange="$AS$3:$AU$4"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15" fmlaLink="$E$12" fmlaRange="$AS$3:$AU$4" noThreeD="1" sel="2" val="0"/>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5" Type="http://schemas.openxmlformats.org/officeDocument/2006/relationships/chart" Target="../charts/chart17.xml"/><Relationship Id="rId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6" Type="http://schemas.openxmlformats.org/officeDocument/2006/relationships/chart" Target="../charts/chart23.xml"/><Relationship Id="rId5" Type="http://schemas.openxmlformats.org/officeDocument/2006/relationships/chart" Target="../charts/chart22.xml"/><Relationship Id="rId4"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xdr:from>
      <xdr:col>4</xdr:col>
      <xdr:colOff>63500</xdr:colOff>
      <xdr:row>33</xdr:row>
      <xdr:rowOff>50800</xdr:rowOff>
    </xdr:from>
    <xdr:to>
      <xdr:col>9</xdr:col>
      <xdr:colOff>114300</xdr:colOff>
      <xdr:row>44</xdr:row>
      <xdr:rowOff>12700</xdr:rowOff>
    </xdr:to>
    <xdr:graphicFrame macro="">
      <xdr:nvGraphicFramePr>
        <xdr:cNvPr id="2038" name="Chart 46">
          <a:extLst>
            <a:ext uri="{FF2B5EF4-FFF2-40B4-BE49-F238E27FC236}">
              <a16:creationId xmlns:a16="http://schemas.microsoft.com/office/drawing/2014/main" id="{00000000-0008-0000-0100-0000F60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50800</xdr:colOff>
      <xdr:row>33</xdr:row>
      <xdr:rowOff>50800</xdr:rowOff>
    </xdr:from>
    <xdr:to>
      <xdr:col>4</xdr:col>
      <xdr:colOff>127000</xdr:colOff>
      <xdr:row>44</xdr:row>
      <xdr:rowOff>12700</xdr:rowOff>
    </xdr:to>
    <xdr:graphicFrame macro="">
      <xdr:nvGraphicFramePr>
        <xdr:cNvPr id="2039" name="Chart 51">
          <a:extLst>
            <a:ext uri="{FF2B5EF4-FFF2-40B4-BE49-F238E27FC236}">
              <a16:creationId xmlns:a16="http://schemas.microsoft.com/office/drawing/2014/main" id="{00000000-0008-0000-0100-0000F70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546100</xdr:colOff>
      <xdr:row>33</xdr:row>
      <xdr:rowOff>50800</xdr:rowOff>
    </xdr:from>
    <xdr:to>
      <xdr:col>18</xdr:col>
      <xdr:colOff>38100</xdr:colOff>
      <xdr:row>44</xdr:row>
      <xdr:rowOff>101600</xdr:rowOff>
    </xdr:to>
    <xdr:graphicFrame macro="">
      <xdr:nvGraphicFramePr>
        <xdr:cNvPr id="2040" name="Chart 52">
          <a:extLst>
            <a:ext uri="{FF2B5EF4-FFF2-40B4-BE49-F238E27FC236}">
              <a16:creationId xmlns:a16="http://schemas.microsoft.com/office/drawing/2014/main" id="{00000000-0008-0000-0100-0000F80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38100</xdr:colOff>
      <xdr:row>33</xdr:row>
      <xdr:rowOff>50800</xdr:rowOff>
    </xdr:from>
    <xdr:to>
      <xdr:col>13</xdr:col>
      <xdr:colOff>12700</xdr:colOff>
      <xdr:row>44</xdr:row>
      <xdr:rowOff>114300</xdr:rowOff>
    </xdr:to>
    <xdr:graphicFrame macro="">
      <xdr:nvGraphicFramePr>
        <xdr:cNvPr id="2041" name="Chart 53">
          <a:extLst>
            <a:ext uri="{FF2B5EF4-FFF2-40B4-BE49-F238E27FC236}">
              <a16:creationId xmlns:a16="http://schemas.microsoft.com/office/drawing/2014/main" id="{00000000-0008-0000-0100-0000F90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2</xdr:row>
      <xdr:rowOff>52070</xdr:rowOff>
    </xdr:from>
    <xdr:to>
      <xdr:col>15</xdr:col>
      <xdr:colOff>583143</xdr:colOff>
      <xdr:row>4</xdr:row>
      <xdr:rowOff>117593</xdr:rowOff>
    </xdr:to>
    <xdr:sp macro="" textlink="">
      <xdr:nvSpPr>
        <xdr:cNvPr id="1085" name="Rectangle 61">
          <a:extLst>
            <a:ext uri="{FF2B5EF4-FFF2-40B4-BE49-F238E27FC236}">
              <a16:creationId xmlns:a16="http://schemas.microsoft.com/office/drawing/2014/main" id="{00000000-0008-0000-0100-00003D040000}"/>
            </a:ext>
          </a:extLst>
        </xdr:cNvPr>
        <xdr:cNvSpPr>
          <a:spLocks noChangeArrowheads="1"/>
        </xdr:cNvSpPr>
      </xdr:nvSpPr>
      <xdr:spPr bwMode="auto">
        <a:xfrm>
          <a:off x="190500" y="285750"/>
          <a:ext cx="7000875" cy="409575"/>
        </a:xfrm>
        <a:prstGeom prst="rect">
          <a:avLst/>
        </a:prstGeom>
        <a:solidFill>
          <a:srgbClr val="FFFFFF"/>
        </a:solidFill>
        <a:ln w="9525">
          <a:noFill/>
          <a:miter lim="800000"/>
          <a:headEnd/>
          <a:tailEnd/>
        </a:ln>
      </xdr:spPr>
      <xdr:txBody>
        <a:bodyPr vertOverflow="clip" wrap="square" lIns="27432" tIns="22860" rIns="0" bIns="0" anchor="t" upright="1"/>
        <a:lstStyle/>
        <a:p>
          <a:pPr algn="l" rtl="0">
            <a:lnSpc>
              <a:spcPts val="1100"/>
            </a:lnSpc>
            <a:defRPr sz="1000"/>
          </a:pPr>
          <a:r>
            <a:rPr lang="en-US" sz="1000" b="0" i="0" strike="noStrike">
              <a:solidFill>
                <a:srgbClr val="000000"/>
              </a:solidFill>
              <a:latin typeface="Arial"/>
              <a:cs typeface="Arial"/>
            </a:rPr>
            <a:t>This spreadsheet can be used to conduct a probabilistic bias analysis to bias</a:t>
          </a:r>
          <a:r>
            <a:rPr lang="en-US" sz="1000" b="0" i="0" strike="noStrike" baseline="0">
              <a:solidFill>
                <a:srgbClr val="000000"/>
              </a:solidFill>
              <a:latin typeface="Arial"/>
              <a:cs typeface="Arial"/>
            </a:rPr>
            <a:t> adjust</a:t>
          </a:r>
          <a:r>
            <a:rPr lang="en-US" sz="1000" b="0" i="0" strike="noStrike">
              <a:solidFill>
                <a:srgbClr val="000000"/>
              </a:solidFill>
              <a:latin typeface="Arial"/>
              <a:cs typeface="Arial"/>
            </a:rPr>
            <a:t> for exposure misclassification and random error simultaneously. The example follows the example in chapter 8.</a:t>
          </a:r>
        </a:p>
      </xdr:txBody>
    </xdr:sp>
    <xdr:clientData/>
  </xdr:twoCellAnchor>
  <xdr:twoCellAnchor>
    <xdr:from>
      <xdr:col>10</xdr:col>
      <xdr:colOff>0</xdr:colOff>
      <xdr:row>6</xdr:row>
      <xdr:rowOff>33655</xdr:rowOff>
    </xdr:from>
    <xdr:to>
      <xdr:col>16</xdr:col>
      <xdr:colOff>1913</xdr:colOff>
      <xdr:row>11</xdr:row>
      <xdr:rowOff>38254</xdr:rowOff>
    </xdr:to>
    <xdr:sp macro="" textlink="">
      <xdr:nvSpPr>
        <xdr:cNvPr id="1086" name="Rectangle 62">
          <a:extLst>
            <a:ext uri="{FF2B5EF4-FFF2-40B4-BE49-F238E27FC236}">
              <a16:creationId xmlns:a16="http://schemas.microsoft.com/office/drawing/2014/main" id="{00000000-0008-0000-0100-00003E040000}"/>
            </a:ext>
          </a:extLst>
        </xdr:cNvPr>
        <xdr:cNvSpPr>
          <a:spLocks noChangeArrowheads="1"/>
        </xdr:cNvSpPr>
      </xdr:nvSpPr>
      <xdr:spPr bwMode="auto">
        <a:xfrm>
          <a:off x="4410075" y="923925"/>
          <a:ext cx="2838450" cy="87630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lnSpc>
              <a:spcPts val="1100"/>
            </a:lnSpc>
            <a:defRPr sz="1000"/>
          </a:pPr>
          <a:r>
            <a:rPr lang="en-US" sz="1000" b="0" i="0" strike="noStrike">
              <a:solidFill>
                <a:srgbClr val="000000"/>
              </a:solidFill>
              <a:latin typeface="Arial"/>
              <a:cs typeface="Arial"/>
            </a:rPr>
            <a:t>Enter the bias parameter distributions in the blue cells to the left and the observed data in the blue cells below. Cells in green give the results after correcting for exposure misclassification. Note: green cells do not have to be integers.</a:t>
          </a:r>
        </a:p>
      </xdr:txBody>
    </xdr:sp>
    <xdr:clientData/>
  </xdr:twoCellAnchor>
  <mc:AlternateContent xmlns:mc="http://schemas.openxmlformats.org/markup-compatibility/2006">
    <mc:Choice xmlns:a14="http://schemas.microsoft.com/office/drawing/2010/main" Requires="a14">
      <xdr:twoCellAnchor>
        <xdr:from>
          <xdr:col>11</xdr:col>
          <xdr:colOff>355600</xdr:colOff>
          <xdr:row>11</xdr:row>
          <xdr:rowOff>139700</xdr:rowOff>
        </xdr:from>
        <xdr:to>
          <xdr:col>14</xdr:col>
          <xdr:colOff>431800</xdr:colOff>
          <xdr:row>13</xdr:row>
          <xdr:rowOff>101600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100-00002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Run 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12700</xdr:rowOff>
        </xdr:from>
        <xdr:to>
          <xdr:col>5</xdr:col>
          <xdr:colOff>25400</xdr:colOff>
          <xdr:row>12</xdr:row>
          <xdr:rowOff>0</xdr:rowOff>
        </xdr:to>
        <xdr:sp macro="" textlink="">
          <xdr:nvSpPr>
            <xdr:cNvPr id="1087" name="Drop Down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50</xdr:row>
      <xdr:rowOff>35277</xdr:rowOff>
    </xdr:from>
    <xdr:to>
      <xdr:col>11</xdr:col>
      <xdr:colOff>586827</xdr:colOff>
      <xdr:row>70</xdr:row>
      <xdr:rowOff>143335</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573202</xdr:colOff>
      <xdr:row>50</xdr:row>
      <xdr:rowOff>50364</xdr:rowOff>
    </xdr:from>
    <xdr:to>
      <xdr:col>22</xdr:col>
      <xdr:colOff>394868</xdr:colOff>
      <xdr:row>70</xdr:row>
      <xdr:rowOff>158422</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152400</xdr:colOff>
      <xdr:row>34</xdr:row>
      <xdr:rowOff>12700</xdr:rowOff>
    </xdr:from>
    <xdr:to>
      <xdr:col>8</xdr:col>
      <xdr:colOff>482600</xdr:colOff>
      <xdr:row>43</xdr:row>
      <xdr:rowOff>152400</xdr:rowOff>
    </xdr:to>
    <xdr:graphicFrame macro="">
      <xdr:nvGraphicFramePr>
        <xdr:cNvPr id="7029" name="Chart 14">
          <a:extLst>
            <a:ext uri="{FF2B5EF4-FFF2-40B4-BE49-F238E27FC236}">
              <a16:creationId xmlns:a16="http://schemas.microsoft.com/office/drawing/2014/main" id="{00000000-0008-0000-0200-0000751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38100</xdr:colOff>
      <xdr:row>33</xdr:row>
      <xdr:rowOff>25400</xdr:rowOff>
    </xdr:from>
    <xdr:to>
      <xdr:col>4</xdr:col>
      <xdr:colOff>38100</xdr:colOff>
      <xdr:row>43</xdr:row>
      <xdr:rowOff>139700</xdr:rowOff>
    </xdr:to>
    <xdr:graphicFrame macro="">
      <xdr:nvGraphicFramePr>
        <xdr:cNvPr id="7030" name="Chart 15">
          <a:extLst>
            <a:ext uri="{FF2B5EF4-FFF2-40B4-BE49-F238E27FC236}">
              <a16:creationId xmlns:a16="http://schemas.microsoft.com/office/drawing/2014/main" id="{00000000-0008-0000-0200-0000761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584200</xdr:colOff>
      <xdr:row>33</xdr:row>
      <xdr:rowOff>12700</xdr:rowOff>
    </xdr:from>
    <xdr:to>
      <xdr:col>15</xdr:col>
      <xdr:colOff>342900</xdr:colOff>
      <xdr:row>43</xdr:row>
      <xdr:rowOff>152400</xdr:rowOff>
    </xdr:to>
    <xdr:graphicFrame macro="">
      <xdr:nvGraphicFramePr>
        <xdr:cNvPr id="7031" name="Chart 16">
          <a:extLst>
            <a:ext uri="{FF2B5EF4-FFF2-40B4-BE49-F238E27FC236}">
              <a16:creationId xmlns:a16="http://schemas.microsoft.com/office/drawing/2014/main" id="{00000000-0008-0000-0200-0000771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419100</xdr:colOff>
      <xdr:row>33</xdr:row>
      <xdr:rowOff>38100</xdr:rowOff>
    </xdr:from>
    <xdr:to>
      <xdr:col>12</xdr:col>
      <xdr:colOff>0</xdr:colOff>
      <xdr:row>44</xdr:row>
      <xdr:rowOff>12700</xdr:rowOff>
    </xdr:to>
    <xdr:graphicFrame macro="">
      <xdr:nvGraphicFramePr>
        <xdr:cNvPr id="7032" name="Chart 17">
          <a:extLst>
            <a:ext uri="{FF2B5EF4-FFF2-40B4-BE49-F238E27FC236}">
              <a16:creationId xmlns:a16="http://schemas.microsoft.com/office/drawing/2014/main" id="{00000000-0008-0000-0200-0000781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2</xdr:row>
      <xdr:rowOff>41275</xdr:rowOff>
    </xdr:from>
    <xdr:to>
      <xdr:col>15</xdr:col>
      <xdr:colOff>262848</xdr:colOff>
      <xdr:row>4</xdr:row>
      <xdr:rowOff>117564</xdr:rowOff>
    </xdr:to>
    <xdr:sp macro="" textlink="">
      <xdr:nvSpPr>
        <xdr:cNvPr id="6169" name="Rectangle 25">
          <a:extLst>
            <a:ext uri="{FF2B5EF4-FFF2-40B4-BE49-F238E27FC236}">
              <a16:creationId xmlns:a16="http://schemas.microsoft.com/office/drawing/2014/main" id="{00000000-0008-0000-0200-000019180000}"/>
            </a:ext>
          </a:extLst>
        </xdr:cNvPr>
        <xdr:cNvSpPr>
          <a:spLocks noChangeArrowheads="1"/>
        </xdr:cNvSpPr>
      </xdr:nvSpPr>
      <xdr:spPr bwMode="auto">
        <a:xfrm>
          <a:off x="190500" y="295275"/>
          <a:ext cx="6896100" cy="4095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This spreadsheet can be used to conduct a probabilistic </a:t>
          </a:r>
          <a:r>
            <a:rPr lang="en-US" sz="1000" b="0" i="0" strike="noStrike">
              <a:solidFill>
                <a:srgbClr val="000000"/>
              </a:solidFill>
              <a:latin typeface="Arial"/>
              <a:ea typeface="+mn-ea"/>
              <a:cs typeface="Arial"/>
            </a:rPr>
            <a:t>bias analysis to bias-adjust for outcome </a:t>
          </a:r>
          <a:r>
            <a:rPr lang="en-US" sz="1000" b="0" i="0" strike="noStrike">
              <a:solidFill>
                <a:srgbClr val="000000"/>
              </a:solidFill>
              <a:latin typeface="Arial"/>
              <a:cs typeface="Arial"/>
            </a:rPr>
            <a:t>misclassification and random error simultaneously. The example follows the example in chapter 8.</a:t>
          </a:r>
        </a:p>
      </xdr:txBody>
    </xdr:sp>
    <xdr:clientData/>
  </xdr:twoCellAnchor>
  <xdr:twoCellAnchor>
    <xdr:from>
      <xdr:col>10</xdr:col>
      <xdr:colOff>46354</xdr:colOff>
      <xdr:row>6</xdr:row>
      <xdr:rowOff>28575</xdr:rowOff>
    </xdr:from>
    <xdr:to>
      <xdr:col>17</xdr:col>
      <xdr:colOff>84530</xdr:colOff>
      <xdr:row>11</xdr:row>
      <xdr:rowOff>66629</xdr:rowOff>
    </xdr:to>
    <xdr:sp macro="" textlink="">
      <xdr:nvSpPr>
        <xdr:cNvPr id="6170" name="Rectangle 26">
          <a:extLst>
            <a:ext uri="{FF2B5EF4-FFF2-40B4-BE49-F238E27FC236}">
              <a16:creationId xmlns:a16="http://schemas.microsoft.com/office/drawing/2014/main" id="{00000000-0008-0000-0200-00001A180000}"/>
            </a:ext>
          </a:extLst>
        </xdr:cNvPr>
        <xdr:cNvSpPr>
          <a:spLocks noChangeArrowheads="1"/>
        </xdr:cNvSpPr>
      </xdr:nvSpPr>
      <xdr:spPr bwMode="auto">
        <a:xfrm>
          <a:off x="4305299" y="923925"/>
          <a:ext cx="3324225" cy="90487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1000" b="0" i="0" strike="noStrike">
              <a:solidFill>
                <a:srgbClr val="000000"/>
              </a:solidFill>
              <a:latin typeface="Arial"/>
              <a:cs typeface="Arial"/>
            </a:rPr>
            <a:t>Enter the bias parameter distributions in the blue cells to the left and the observed data in the blue cells below. Cells in green give the results after correcting for outcome misclassification. Note: green cells are expected values and therefore do not have to be integers.</a:t>
          </a:r>
        </a:p>
      </xdr:txBody>
    </xdr:sp>
    <xdr:clientData/>
  </xdr:twoCellAnchor>
  <mc:AlternateContent xmlns:mc="http://schemas.openxmlformats.org/markup-compatibility/2006">
    <mc:Choice xmlns:a14="http://schemas.microsoft.com/office/drawing/2010/main" Requires="a14">
      <xdr:twoCellAnchor>
        <xdr:from>
          <xdr:col>11</xdr:col>
          <xdr:colOff>355600</xdr:colOff>
          <xdr:row>11</xdr:row>
          <xdr:rowOff>0</xdr:rowOff>
        </xdr:from>
        <xdr:to>
          <xdr:col>14</xdr:col>
          <xdr:colOff>444500</xdr:colOff>
          <xdr:row>13</xdr:row>
          <xdr:rowOff>88900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Run 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12700</xdr:rowOff>
        </xdr:from>
        <xdr:to>
          <xdr:col>5</xdr:col>
          <xdr:colOff>25400</xdr:colOff>
          <xdr:row>12</xdr:row>
          <xdr:rowOff>12700</xdr:rowOff>
        </xdr:to>
        <xdr:sp macro="" textlink="">
          <xdr:nvSpPr>
            <xdr:cNvPr id="6172" name="Drop Down 28" hidden="1">
              <a:extLst>
                <a:ext uri="{63B3BB69-23CF-44E3-9099-C40C66FF867C}">
                  <a14:compatExt spid="_x0000_s6172"/>
                </a:ext>
                <a:ext uri="{FF2B5EF4-FFF2-40B4-BE49-F238E27FC236}">
                  <a16:creationId xmlns:a16="http://schemas.microsoft.com/office/drawing/2014/main" id="{00000000-0008-0000-0200-00001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51</xdr:row>
      <xdr:rowOff>0</xdr:rowOff>
    </xdr:from>
    <xdr:to>
      <xdr:col>11</xdr:col>
      <xdr:colOff>364486</xdr:colOff>
      <xdr:row>72</xdr:row>
      <xdr:rowOff>45956</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491486</xdr:colOff>
      <xdr:row>51</xdr:row>
      <xdr:rowOff>7663</xdr:rowOff>
    </xdr:from>
    <xdr:to>
      <xdr:col>22</xdr:col>
      <xdr:colOff>94611</xdr:colOff>
      <xdr:row>72</xdr:row>
      <xdr:rowOff>53619</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47625</xdr:rowOff>
    </xdr:from>
    <xdr:to>
      <xdr:col>17</xdr:col>
      <xdr:colOff>0</xdr:colOff>
      <xdr:row>4</xdr:row>
      <xdr:rowOff>117873</xdr:rowOff>
    </xdr:to>
    <xdr:sp macro="" textlink="">
      <xdr:nvSpPr>
        <xdr:cNvPr id="2" name="Rectangle 39">
          <a:extLst>
            <a:ext uri="{FF2B5EF4-FFF2-40B4-BE49-F238E27FC236}">
              <a16:creationId xmlns:a16="http://schemas.microsoft.com/office/drawing/2014/main" id="{00000000-0008-0000-0300-000002000000}"/>
            </a:ext>
          </a:extLst>
        </xdr:cNvPr>
        <xdr:cNvSpPr>
          <a:spLocks noChangeArrowheads="1"/>
        </xdr:cNvSpPr>
      </xdr:nvSpPr>
      <xdr:spPr bwMode="auto">
        <a:xfrm>
          <a:off x="215900" y="288925"/>
          <a:ext cx="8267700" cy="41314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This spreadsheet can be used to conduct a probabilistic bias </a:t>
          </a:r>
          <a:r>
            <a:rPr lang="en-US" sz="1000" b="0" i="0" strike="noStrike">
              <a:solidFill>
                <a:srgbClr val="000000"/>
              </a:solidFill>
              <a:latin typeface="Arial"/>
              <a:ea typeface="+mn-ea"/>
              <a:cs typeface="Arial"/>
            </a:rPr>
            <a:t>analysis to bias-adjust for uncontrolled </a:t>
          </a:r>
          <a:r>
            <a:rPr lang="en-US" sz="1000" b="0" i="0" strike="noStrike">
              <a:solidFill>
                <a:srgbClr val="000000"/>
              </a:solidFill>
              <a:latin typeface="Arial"/>
              <a:cs typeface="Arial"/>
            </a:rPr>
            <a:t>confounding and random error simultaneously. The example follows the example in chapter 8.</a:t>
          </a:r>
        </a:p>
      </xdr:txBody>
    </xdr:sp>
    <xdr:clientData/>
  </xdr:twoCellAnchor>
  <xdr:twoCellAnchor>
    <xdr:from>
      <xdr:col>10</xdr:col>
      <xdr:colOff>0</xdr:colOff>
      <xdr:row>6</xdr:row>
      <xdr:rowOff>66675</xdr:rowOff>
    </xdr:from>
    <xdr:to>
      <xdr:col>17</xdr:col>
      <xdr:colOff>84425</xdr:colOff>
      <xdr:row>10</xdr:row>
      <xdr:rowOff>123825</xdr:rowOff>
    </xdr:to>
    <xdr:sp macro="" textlink="">
      <xdr:nvSpPr>
        <xdr:cNvPr id="3" name="Rectangle 40">
          <a:extLst>
            <a:ext uri="{FF2B5EF4-FFF2-40B4-BE49-F238E27FC236}">
              <a16:creationId xmlns:a16="http://schemas.microsoft.com/office/drawing/2014/main" id="{00000000-0008-0000-0300-000003000000}"/>
            </a:ext>
          </a:extLst>
        </xdr:cNvPr>
        <xdr:cNvSpPr>
          <a:spLocks noChangeArrowheads="1"/>
        </xdr:cNvSpPr>
      </xdr:nvSpPr>
      <xdr:spPr bwMode="auto">
        <a:xfrm>
          <a:off x="4775200" y="968375"/>
          <a:ext cx="3792825" cy="8191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lnSpc>
              <a:spcPts val="1000"/>
            </a:lnSpc>
            <a:defRPr sz="1000"/>
          </a:pPr>
          <a:r>
            <a:rPr lang="en-US" sz="1000" b="0" i="0" strike="noStrike">
              <a:solidFill>
                <a:srgbClr val="000000"/>
              </a:solidFill>
              <a:latin typeface="Arial"/>
              <a:cs typeface="Arial"/>
            </a:rPr>
            <a:t>Enter distributions for the bias parameters in the blue cells to the left and the crude data in the blue cells below. Cells in green give the results after adjusting for the unmeasured confounder. Note that white cells are expected values and therefore do not have to be integers.</a:t>
          </a:r>
        </a:p>
      </xdr:txBody>
    </xdr:sp>
    <xdr:clientData/>
  </xdr:twoCellAnchor>
  <xdr:twoCellAnchor>
    <xdr:from>
      <xdr:col>1</xdr:col>
      <xdr:colOff>12700</xdr:colOff>
      <xdr:row>37</xdr:row>
      <xdr:rowOff>63500</xdr:rowOff>
    </xdr:from>
    <xdr:to>
      <xdr:col>7</xdr:col>
      <xdr:colOff>63500</xdr:colOff>
      <xdr:row>45</xdr:row>
      <xdr:rowOff>38100</xdr:rowOff>
    </xdr:to>
    <xdr:graphicFrame macro="">
      <xdr:nvGraphicFramePr>
        <xdr:cNvPr id="4" name="Chart 42">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127000</xdr:colOff>
      <xdr:row>37</xdr:row>
      <xdr:rowOff>25400</xdr:rowOff>
    </xdr:from>
    <xdr:to>
      <xdr:col>12</xdr:col>
      <xdr:colOff>165100</xdr:colOff>
      <xdr:row>45</xdr:row>
      <xdr:rowOff>12700</xdr:rowOff>
    </xdr:to>
    <xdr:graphicFrame macro="">
      <xdr:nvGraphicFramePr>
        <xdr:cNvPr id="5" name="Chart 45">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37</xdr:row>
      <xdr:rowOff>38100</xdr:rowOff>
    </xdr:from>
    <xdr:to>
      <xdr:col>17</xdr:col>
      <xdr:colOff>88900</xdr:colOff>
      <xdr:row>44</xdr:row>
      <xdr:rowOff>88900</xdr:rowOff>
    </xdr:to>
    <xdr:graphicFrame macro="">
      <xdr:nvGraphicFramePr>
        <xdr:cNvPr id="6" name="Chart 46">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11</xdr:col>
          <xdr:colOff>266700</xdr:colOff>
          <xdr:row>10</xdr:row>
          <xdr:rowOff>101600</xdr:rowOff>
        </xdr:from>
        <xdr:to>
          <xdr:col>15</xdr:col>
          <xdr:colOff>101600</xdr:colOff>
          <xdr:row>13</xdr:row>
          <xdr:rowOff>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300-000001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Run Simulation</a:t>
              </a:r>
            </a:p>
          </xdr:txBody>
        </xdr:sp>
        <xdr:clientData fPrintsWithSheet="0"/>
      </xdr:twoCellAnchor>
    </mc:Choice>
    <mc:Fallback/>
  </mc:AlternateContent>
  <xdr:twoCellAnchor>
    <xdr:from>
      <xdr:col>1</xdr:col>
      <xdr:colOff>0</xdr:colOff>
      <xdr:row>49</xdr:row>
      <xdr:rowOff>0</xdr:rowOff>
    </xdr:from>
    <xdr:to>
      <xdr:col>11</xdr:col>
      <xdr:colOff>166688</xdr:colOff>
      <xdr:row>69</xdr:row>
      <xdr:rowOff>101518</xdr:rowOff>
    </xdr:to>
    <xdr:graphicFrame macro="">
      <xdr:nvGraphicFramePr>
        <xdr:cNvPr id="11" name="Chart 10">
          <a:extLst>
            <a:ext uri="{FF2B5EF4-FFF2-40B4-BE49-F238E27FC236}">
              <a16:creationId xmlns:a16="http://schemas.microsoft.com/office/drawing/2014/main" id="{00000000-0008-0000-03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285749</xdr:colOff>
      <xdr:row>49</xdr:row>
      <xdr:rowOff>31463</xdr:rowOff>
    </xdr:from>
    <xdr:to>
      <xdr:col>20</xdr:col>
      <xdr:colOff>174625</xdr:colOff>
      <xdr:row>69</xdr:row>
      <xdr:rowOff>132981</xdr:rowOff>
    </xdr:to>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2</xdr:row>
      <xdr:rowOff>47625</xdr:rowOff>
    </xdr:from>
    <xdr:to>
      <xdr:col>17</xdr:col>
      <xdr:colOff>47625</xdr:colOff>
      <xdr:row>4</xdr:row>
      <xdr:rowOff>123825</xdr:rowOff>
    </xdr:to>
    <xdr:sp macro="" textlink="">
      <xdr:nvSpPr>
        <xdr:cNvPr id="2" name="Rectangle 23">
          <a:extLst>
            <a:ext uri="{FF2B5EF4-FFF2-40B4-BE49-F238E27FC236}">
              <a16:creationId xmlns:a16="http://schemas.microsoft.com/office/drawing/2014/main" id="{00000000-0008-0000-0400-000002000000}"/>
            </a:ext>
          </a:extLst>
        </xdr:cNvPr>
        <xdr:cNvSpPr>
          <a:spLocks noChangeArrowheads="1"/>
        </xdr:cNvSpPr>
      </xdr:nvSpPr>
      <xdr:spPr bwMode="auto">
        <a:xfrm>
          <a:off x="698500" y="377825"/>
          <a:ext cx="11223625" cy="4064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This spreadsheet can be used to conduct a probabilistic bias analysis to adjust for selection bias and random error simultaneously. The example follows the example in chapter 8.</a:t>
          </a:r>
        </a:p>
      </xdr:txBody>
    </xdr:sp>
    <xdr:clientData/>
  </xdr:twoCellAnchor>
  <xdr:twoCellAnchor>
    <xdr:from>
      <xdr:col>13</xdr:col>
      <xdr:colOff>137583</xdr:colOff>
      <xdr:row>6</xdr:row>
      <xdr:rowOff>53975</xdr:rowOff>
    </xdr:from>
    <xdr:to>
      <xdr:col>18</xdr:col>
      <xdr:colOff>19025</xdr:colOff>
      <xdr:row>12</xdr:row>
      <xdr:rowOff>105833</xdr:rowOff>
    </xdr:to>
    <xdr:sp macro="" textlink="">
      <xdr:nvSpPr>
        <xdr:cNvPr id="3" name="Rectangle 24">
          <a:extLst>
            <a:ext uri="{FF2B5EF4-FFF2-40B4-BE49-F238E27FC236}">
              <a16:creationId xmlns:a16="http://schemas.microsoft.com/office/drawing/2014/main" id="{00000000-0008-0000-0400-000003000000}"/>
            </a:ext>
          </a:extLst>
        </xdr:cNvPr>
        <xdr:cNvSpPr>
          <a:spLocks noChangeArrowheads="1"/>
        </xdr:cNvSpPr>
      </xdr:nvSpPr>
      <xdr:spPr bwMode="auto">
        <a:xfrm>
          <a:off x="6445250" y="985308"/>
          <a:ext cx="1892275" cy="1152525"/>
        </a:xfrm>
        <a:prstGeom prst="rect">
          <a:avLst/>
        </a:prstGeom>
        <a:solidFill>
          <a:srgbClr val="FFFFFF"/>
        </a:solidFill>
        <a:ln w="9525">
          <a:noFill/>
          <a:miter lim="800000"/>
          <a:headEnd/>
          <a:tailEnd/>
        </a:ln>
      </xdr:spPr>
      <xdr:txBody>
        <a:bodyPr vertOverflow="clip" wrap="square" lIns="27432" tIns="22860" rIns="27432" bIns="0" anchor="t"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strike="noStrike">
              <a:solidFill>
                <a:srgbClr val="000000"/>
              </a:solidFill>
              <a:latin typeface="Arial"/>
              <a:cs typeface="Arial"/>
            </a:rPr>
            <a:t>Enter the bias parameter distributions in the blue cells to the left and the crude data in the blue cells below. Cells in green give the results after adjusting for the selection proportions</a:t>
          </a:r>
          <a:r>
            <a:rPr lang="en-US" sz="1000" b="0" i="0">
              <a:effectLst/>
              <a:latin typeface="+mn-lt"/>
              <a:ea typeface="+mn-ea"/>
              <a:cs typeface="+mn-cs"/>
            </a:rPr>
            <a:t>. </a:t>
          </a:r>
          <a:endParaRPr lang="en-US" sz="1000" b="0" i="0" strike="noStrike">
            <a:solidFill>
              <a:srgbClr val="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9</xdr:col>
          <xdr:colOff>139700</xdr:colOff>
          <xdr:row>10</xdr:row>
          <xdr:rowOff>101600</xdr:rowOff>
        </xdr:from>
        <xdr:to>
          <xdr:col>12</xdr:col>
          <xdr:colOff>317500</xdr:colOff>
          <xdr:row>12</xdr:row>
          <xdr:rowOff>25400</xdr:rowOff>
        </xdr:to>
        <xdr:sp macro="" textlink="">
          <xdr:nvSpPr>
            <xdr:cNvPr id="10256" name="Button 16" hidden="1">
              <a:extLst>
                <a:ext uri="{63B3BB69-23CF-44E3-9099-C40C66FF867C}">
                  <a14:compatExt spid="_x0000_s10256"/>
                </a:ext>
                <a:ext uri="{FF2B5EF4-FFF2-40B4-BE49-F238E27FC236}">
                  <a16:creationId xmlns:a16="http://schemas.microsoft.com/office/drawing/2014/main" id="{00000000-0008-0000-0400-000010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Run Simulation</a:t>
              </a:r>
            </a:p>
          </xdr:txBody>
        </xdr:sp>
        <xdr:clientData fPrintsWithSheet="0"/>
      </xdr:twoCellAnchor>
    </mc:Choice>
    <mc:Fallback/>
  </mc:AlternateContent>
  <xdr:twoCellAnchor>
    <xdr:from>
      <xdr:col>0</xdr:col>
      <xdr:colOff>179917</xdr:colOff>
      <xdr:row>35</xdr:row>
      <xdr:rowOff>141816</xdr:rowOff>
    </xdr:from>
    <xdr:to>
      <xdr:col>7</xdr:col>
      <xdr:colOff>433918</xdr:colOff>
      <xdr:row>47</xdr:row>
      <xdr:rowOff>158750</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95249</xdr:colOff>
      <xdr:row>35</xdr:row>
      <xdr:rowOff>116417</xdr:rowOff>
    </xdr:from>
    <xdr:to>
      <xdr:col>17</xdr:col>
      <xdr:colOff>306915</xdr:colOff>
      <xdr:row>47</xdr:row>
      <xdr:rowOff>105834</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158748</xdr:colOff>
      <xdr:row>49</xdr:row>
      <xdr:rowOff>0</xdr:rowOff>
    </xdr:from>
    <xdr:to>
      <xdr:col>7</xdr:col>
      <xdr:colOff>455083</xdr:colOff>
      <xdr:row>60</xdr:row>
      <xdr:rowOff>158749</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42335</xdr:colOff>
      <xdr:row>49</xdr:row>
      <xdr:rowOff>1</xdr:rowOff>
    </xdr:from>
    <xdr:to>
      <xdr:col>17</xdr:col>
      <xdr:colOff>277388</xdr:colOff>
      <xdr:row>60</xdr:row>
      <xdr:rowOff>127001</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0</xdr:rowOff>
    </xdr:from>
    <xdr:to>
      <xdr:col>11</xdr:col>
      <xdr:colOff>72290</xdr:colOff>
      <xdr:row>90</xdr:row>
      <xdr:rowOff>114748</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308041</xdr:colOff>
      <xdr:row>69</xdr:row>
      <xdr:rowOff>25298</xdr:rowOff>
    </xdr:from>
    <xdr:to>
      <xdr:col>22</xdr:col>
      <xdr:colOff>134268</xdr:colOff>
      <xdr:row>90</xdr:row>
      <xdr:rowOff>140046</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ites.google.com/site/biasanalysis/" TargetMode="External"/><Relationship Id="rId1" Type="http://schemas.openxmlformats.org/officeDocument/2006/relationships/hyperlink" Target="mailto:mfox@bu.edu" TargetMode="Externa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omments" Target="../comments2.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B2:AL25"/>
  <sheetViews>
    <sheetView zoomScale="120" zoomScaleNormal="120" workbookViewId="0">
      <selection activeCell="V13" sqref="V13"/>
    </sheetView>
  </sheetViews>
  <sheetFormatPr defaultColWidth="11.453125" defaultRowHeight="12.5" x14ac:dyDescent="0.25"/>
  <cols>
    <col min="1" max="1" width="2.81640625" style="2" customWidth="1"/>
    <col min="2" max="2" width="11.453125" style="2" customWidth="1"/>
    <col min="3" max="3" width="5" style="2" customWidth="1"/>
    <col min="4" max="4" width="11.453125" style="2" customWidth="1"/>
    <col min="5" max="5" width="5.81640625" style="2" customWidth="1"/>
    <col min="6" max="6" width="6.6328125" style="2" customWidth="1"/>
    <col min="7" max="7" width="3.453125" style="2" customWidth="1"/>
    <col min="8" max="8" width="4.1796875" style="2" customWidth="1"/>
    <col min="9" max="9" width="5.453125" style="2" customWidth="1"/>
    <col min="10" max="10" width="3.81640625" style="2" customWidth="1"/>
    <col min="11" max="11" width="3.453125" style="2" customWidth="1"/>
    <col min="12" max="13" width="3.81640625" style="2" customWidth="1"/>
    <col min="14" max="14" width="3.453125" style="2" customWidth="1"/>
    <col min="15" max="15" width="3" style="2" customWidth="1"/>
    <col min="16" max="16" width="2.81640625" style="2" customWidth="1"/>
    <col min="17" max="19" width="3.453125" style="2" customWidth="1"/>
    <col min="20" max="20" width="6.36328125" style="2" customWidth="1"/>
    <col min="21" max="21" width="7.1796875" style="2" customWidth="1"/>
    <col min="22" max="22" width="6.453125" style="2" customWidth="1"/>
    <col min="23" max="23" width="5.36328125" style="2" customWidth="1"/>
    <col min="24" max="24" width="6.36328125" style="2" customWidth="1"/>
    <col min="25" max="25" width="5.1796875" style="2" customWidth="1"/>
    <col min="26" max="31" width="11.453125" style="2" customWidth="1"/>
    <col min="32" max="32" width="9.36328125" style="2" customWidth="1"/>
    <col min="33" max="16384" width="11.453125" style="2"/>
  </cols>
  <sheetData>
    <row r="2" spans="2:38" ht="13.5" thickBot="1" x14ac:dyDescent="0.35">
      <c r="B2" s="81" t="s">
        <v>115</v>
      </c>
      <c r="C2" s="82"/>
      <c r="D2" s="82"/>
      <c r="E2" s="82"/>
      <c r="F2" s="82"/>
      <c r="G2" s="82"/>
      <c r="H2" s="82"/>
      <c r="I2" s="82"/>
      <c r="J2" s="82"/>
      <c r="K2" s="82"/>
      <c r="L2" s="82"/>
      <c r="M2" s="82"/>
      <c r="N2" s="82"/>
      <c r="O2" s="82"/>
      <c r="P2" s="82"/>
      <c r="Q2" s="82"/>
      <c r="R2" s="83" t="s">
        <v>112</v>
      </c>
      <c r="S2" s="1"/>
      <c r="T2" s="1"/>
    </row>
    <row r="3" spans="2:38" ht="13" thickTop="1" x14ac:dyDescent="0.25">
      <c r="B3" s="254" t="s">
        <v>113</v>
      </c>
      <c r="C3" s="255"/>
      <c r="D3" s="255"/>
      <c r="E3" s="255"/>
      <c r="F3" s="255"/>
      <c r="G3" s="255"/>
      <c r="H3" s="255"/>
      <c r="I3" s="255"/>
      <c r="J3" s="255"/>
      <c r="K3" s="255"/>
      <c r="L3" s="255"/>
      <c r="M3" s="255"/>
      <c r="N3" s="255"/>
      <c r="O3" s="255"/>
      <c r="P3" s="255"/>
      <c r="Q3" s="255"/>
      <c r="R3" s="256"/>
    </row>
    <row r="4" spans="2:38" x14ac:dyDescent="0.25">
      <c r="B4" s="257"/>
      <c r="C4" s="258"/>
      <c r="D4" s="258"/>
      <c r="E4" s="258"/>
      <c r="F4" s="258"/>
      <c r="G4" s="258"/>
      <c r="H4" s="258"/>
      <c r="I4" s="258"/>
      <c r="J4" s="258"/>
      <c r="K4" s="258"/>
      <c r="L4" s="258"/>
      <c r="M4" s="258"/>
      <c r="N4" s="258"/>
      <c r="O4" s="258"/>
      <c r="P4" s="258"/>
      <c r="Q4" s="258"/>
      <c r="R4" s="259"/>
      <c r="AL4" s="20" t="e">
        <f>IF(#REF!&lt;0,1,IF(#REF!&lt;0,1,IF(#REF!&lt;0,1,IF(#REF!&lt;0,1,0))))</f>
        <v>#REF!</v>
      </c>
    </row>
    <row r="5" spans="2:38" ht="6.75" customHeight="1" x14ac:dyDescent="0.25">
      <c r="B5" s="257"/>
      <c r="C5" s="258"/>
      <c r="D5" s="258"/>
      <c r="E5" s="258"/>
      <c r="F5" s="258"/>
      <c r="G5" s="258"/>
      <c r="H5" s="258"/>
      <c r="I5" s="258"/>
      <c r="J5" s="258"/>
      <c r="K5" s="258"/>
      <c r="L5" s="258"/>
      <c r="M5" s="258"/>
      <c r="N5" s="258"/>
      <c r="O5" s="258"/>
      <c r="P5" s="258"/>
      <c r="Q5" s="258"/>
      <c r="R5" s="259"/>
      <c r="U5" s="86"/>
      <c r="AL5" s="20" t="e">
        <f>IF(#REF!&lt;0,1,IF(#REF!&lt;0,1,IF(#REF!&lt;0,1,IF(#REF!&lt;0,1,0))))</f>
        <v>#REF!</v>
      </c>
    </row>
    <row r="6" spans="2:38" ht="13" x14ac:dyDescent="0.3">
      <c r="B6" s="87" t="s">
        <v>114</v>
      </c>
      <c r="C6" s="88"/>
      <c r="D6" s="84"/>
      <c r="E6" s="84"/>
      <c r="F6" s="84"/>
      <c r="G6" s="84"/>
      <c r="H6" s="84"/>
      <c r="I6" s="84"/>
      <c r="J6" s="84"/>
      <c r="K6" s="84"/>
      <c r="L6" s="84"/>
      <c r="M6" s="84"/>
      <c r="N6" s="84"/>
      <c r="O6" s="84"/>
      <c r="P6" s="84"/>
      <c r="Q6" s="84"/>
      <c r="R6" s="85"/>
      <c r="U6" s="86"/>
      <c r="AL6" s="20"/>
    </row>
    <row r="7" spans="2:38" ht="6.5" customHeight="1" x14ac:dyDescent="0.3">
      <c r="B7" s="87"/>
      <c r="C7" s="88"/>
      <c r="D7" s="84"/>
      <c r="E7" s="84"/>
      <c r="F7" s="84"/>
      <c r="G7" s="84"/>
      <c r="H7" s="84"/>
      <c r="I7" s="84"/>
      <c r="J7" s="84"/>
      <c r="K7" s="84"/>
      <c r="L7" s="84"/>
      <c r="M7" s="84"/>
      <c r="N7" s="84"/>
      <c r="O7" s="84"/>
      <c r="P7" s="84"/>
      <c r="Q7" s="84"/>
      <c r="R7" s="85"/>
      <c r="U7" s="86"/>
      <c r="AL7" s="20"/>
    </row>
    <row r="8" spans="2:38" ht="13" x14ac:dyDescent="0.3">
      <c r="B8" s="87"/>
      <c r="C8" s="264" t="s">
        <v>84</v>
      </c>
      <c r="D8" s="264"/>
      <c r="E8" s="264"/>
      <c r="F8" s="264"/>
      <c r="G8" s="264"/>
      <c r="H8" s="264"/>
      <c r="I8" s="264"/>
      <c r="J8" s="264"/>
      <c r="K8" s="89"/>
      <c r="L8" s="89"/>
      <c r="M8" s="89"/>
      <c r="N8" s="89"/>
      <c r="O8" s="89"/>
      <c r="P8" s="89"/>
      <c r="Q8" s="89"/>
      <c r="R8" s="90"/>
    </row>
    <row r="9" spans="2:38" x14ac:dyDescent="0.25">
      <c r="B9" s="91"/>
      <c r="C9" s="264" t="s">
        <v>85</v>
      </c>
      <c r="D9" s="264"/>
      <c r="E9" s="264"/>
      <c r="F9" s="264"/>
      <c r="G9" s="264"/>
      <c r="H9" s="264"/>
      <c r="I9" s="264"/>
      <c r="J9" s="264"/>
      <c r="K9" s="89"/>
      <c r="L9" s="89"/>
      <c r="M9" s="89"/>
      <c r="N9" s="89"/>
      <c r="O9" s="89"/>
      <c r="P9" s="89"/>
      <c r="Q9" s="89"/>
      <c r="R9" s="90"/>
    </row>
    <row r="10" spans="2:38" x14ac:dyDescent="0.25">
      <c r="B10" s="92"/>
      <c r="C10" s="264" t="s">
        <v>111</v>
      </c>
      <c r="D10" s="264"/>
      <c r="E10" s="264"/>
      <c r="F10" s="264"/>
      <c r="G10" s="264"/>
      <c r="H10" s="264"/>
      <c r="I10" s="264"/>
      <c r="J10" s="264"/>
      <c r="K10" s="89"/>
      <c r="L10" s="89"/>
      <c r="M10" s="89"/>
      <c r="N10" s="89"/>
      <c r="O10" s="89"/>
      <c r="P10" s="89"/>
      <c r="Q10" s="89"/>
      <c r="R10" s="90"/>
    </row>
    <row r="11" spans="2:38" ht="13" x14ac:dyDescent="0.3">
      <c r="B11" s="87"/>
      <c r="C11" s="264" t="s">
        <v>86</v>
      </c>
      <c r="D11" s="264"/>
      <c r="E11" s="264"/>
      <c r="F11" s="264"/>
      <c r="G11" s="264"/>
      <c r="H11" s="264"/>
      <c r="I11" s="264"/>
      <c r="J11" s="264"/>
      <c r="K11" s="89"/>
      <c r="L11" s="89"/>
      <c r="M11" s="89"/>
      <c r="N11" s="89"/>
      <c r="O11" s="89"/>
      <c r="P11" s="89"/>
      <c r="Q11" s="89"/>
      <c r="R11" s="90"/>
    </row>
    <row r="12" spans="2:38" ht="7.5" customHeight="1" thickBot="1" x14ac:dyDescent="0.3">
      <c r="B12" s="93"/>
      <c r="C12" s="94"/>
      <c r="D12" s="94"/>
      <c r="E12" s="95"/>
      <c r="F12" s="94"/>
      <c r="G12" s="95"/>
      <c r="H12" s="95"/>
      <c r="I12" s="95"/>
      <c r="J12" s="95"/>
      <c r="K12" s="95"/>
      <c r="L12" s="95"/>
      <c r="M12" s="95"/>
      <c r="N12" s="95"/>
      <c r="O12" s="95"/>
      <c r="P12" s="95"/>
      <c r="Q12" s="95"/>
      <c r="R12" s="96"/>
    </row>
    <row r="13" spans="2:38" ht="6" customHeight="1" thickBot="1" x14ac:dyDescent="0.3"/>
    <row r="14" spans="2:38" ht="13.5" thickBot="1" x14ac:dyDescent="0.35">
      <c r="B14" s="81" t="s">
        <v>87</v>
      </c>
      <c r="C14" s="82"/>
      <c r="D14" s="97"/>
      <c r="E14" s="97"/>
      <c r="F14" s="97"/>
      <c r="G14" s="97"/>
      <c r="H14" s="97"/>
      <c r="I14" s="97"/>
      <c r="J14" s="97"/>
      <c r="K14" s="97"/>
      <c r="L14" s="97"/>
      <c r="M14" s="97"/>
      <c r="N14" s="97"/>
      <c r="O14" s="97"/>
      <c r="P14" s="97"/>
      <c r="Q14" s="97"/>
      <c r="R14" s="98"/>
    </row>
    <row r="15" spans="2:38" ht="13" thickTop="1" x14ac:dyDescent="0.25">
      <c r="B15" s="99" t="s">
        <v>88</v>
      </c>
      <c r="C15" s="100"/>
      <c r="D15" s="100"/>
      <c r="E15" s="100"/>
      <c r="F15" s="101"/>
      <c r="G15" s="101"/>
      <c r="H15" s="101"/>
      <c r="I15" s="101"/>
      <c r="J15" s="101"/>
      <c r="K15" s="101"/>
      <c r="L15" s="101"/>
      <c r="M15" s="101"/>
      <c r="N15" s="101"/>
      <c r="O15" s="101"/>
      <c r="P15" s="101"/>
      <c r="Q15" s="101"/>
      <c r="R15" s="102"/>
    </row>
    <row r="16" spans="2:38" ht="12" customHeight="1" x14ac:dyDescent="0.25">
      <c r="B16" s="138" t="s">
        <v>134</v>
      </c>
      <c r="C16" s="139" t="s">
        <v>135</v>
      </c>
      <c r="D16" s="101"/>
      <c r="E16" s="101"/>
      <c r="F16" s="101"/>
      <c r="G16" s="101"/>
      <c r="H16" s="101"/>
      <c r="I16" s="101"/>
      <c r="J16" s="101"/>
      <c r="K16" s="101"/>
      <c r="L16" s="101"/>
      <c r="M16" s="101"/>
      <c r="N16" s="101"/>
      <c r="O16" s="101"/>
      <c r="P16" s="101"/>
      <c r="Q16" s="101"/>
      <c r="R16" s="102"/>
    </row>
    <row r="17" spans="2:18" x14ac:dyDescent="0.25">
      <c r="B17" s="99" t="s">
        <v>89</v>
      </c>
      <c r="C17" s="100"/>
      <c r="D17" s="100"/>
      <c r="E17" s="100"/>
      <c r="F17" s="101"/>
      <c r="G17" s="101"/>
      <c r="H17" s="101"/>
      <c r="I17" s="101"/>
      <c r="J17" s="101"/>
      <c r="K17" s="101"/>
      <c r="L17" s="101"/>
      <c r="M17" s="101"/>
      <c r="N17" s="101"/>
      <c r="O17" s="101"/>
      <c r="P17" s="101"/>
      <c r="Q17" s="101"/>
      <c r="R17" s="102"/>
    </row>
    <row r="18" spans="2:18" x14ac:dyDescent="0.25">
      <c r="B18" s="99"/>
      <c r="C18" s="100"/>
      <c r="D18" s="100"/>
      <c r="E18" s="100"/>
      <c r="F18" s="101"/>
      <c r="G18" s="101"/>
      <c r="H18" s="101"/>
      <c r="I18" s="101"/>
      <c r="J18" s="101"/>
      <c r="K18" s="101"/>
      <c r="L18" s="101"/>
      <c r="M18" s="101"/>
      <c r="N18" s="101"/>
      <c r="O18" s="101"/>
      <c r="P18" s="101"/>
      <c r="Q18" s="101"/>
      <c r="R18" s="102"/>
    </row>
    <row r="19" spans="2:18" x14ac:dyDescent="0.25">
      <c r="B19" s="103"/>
      <c r="C19" s="265" t="s">
        <v>161</v>
      </c>
      <c r="D19" s="265"/>
      <c r="E19" s="265"/>
      <c r="F19" s="265"/>
      <c r="G19" s="265"/>
      <c r="H19" s="265"/>
      <c r="I19" s="265"/>
      <c r="J19" s="265"/>
      <c r="K19" s="265"/>
      <c r="L19" s="265"/>
      <c r="M19" s="265"/>
      <c r="N19" s="265"/>
      <c r="O19" s="265"/>
      <c r="P19" s="265"/>
      <c r="Q19" s="265"/>
      <c r="R19" s="102"/>
    </row>
    <row r="20" spans="2:18" x14ac:dyDescent="0.25">
      <c r="B20" s="99"/>
      <c r="C20" s="265"/>
      <c r="D20" s="265"/>
      <c r="E20" s="265"/>
      <c r="F20" s="265"/>
      <c r="G20" s="265"/>
      <c r="H20" s="265"/>
      <c r="I20" s="265"/>
      <c r="J20" s="265"/>
      <c r="K20" s="265"/>
      <c r="L20" s="265"/>
      <c r="M20" s="265"/>
      <c r="N20" s="265"/>
      <c r="O20" s="265"/>
      <c r="P20" s="265"/>
      <c r="Q20" s="265"/>
      <c r="R20" s="102"/>
    </row>
    <row r="21" spans="2:18" x14ac:dyDescent="0.25">
      <c r="B21" s="99" t="s">
        <v>90</v>
      </c>
      <c r="C21" s="100"/>
      <c r="D21" s="100"/>
      <c r="E21" s="100"/>
      <c r="F21" s="101"/>
      <c r="G21" s="101"/>
      <c r="H21" s="101"/>
      <c r="I21" s="101"/>
      <c r="J21" s="101"/>
      <c r="K21" s="101"/>
      <c r="L21" s="101"/>
      <c r="M21" s="101"/>
      <c r="N21" s="101"/>
      <c r="O21" s="101"/>
      <c r="P21" s="101"/>
      <c r="Q21" s="101"/>
      <c r="R21" s="102"/>
    </row>
    <row r="22" spans="2:18" ht="13" x14ac:dyDescent="0.3">
      <c r="B22" s="99" t="s">
        <v>91</v>
      </c>
      <c r="C22" s="100"/>
      <c r="D22" s="100"/>
      <c r="E22" s="101"/>
      <c r="F22" s="101"/>
      <c r="G22" s="101"/>
      <c r="H22" s="101"/>
      <c r="I22" s="104" t="s">
        <v>92</v>
      </c>
      <c r="J22" s="101"/>
      <c r="K22" s="101"/>
      <c r="L22" s="101"/>
      <c r="M22" s="101"/>
      <c r="N22" s="101"/>
      <c r="O22" s="101"/>
      <c r="P22" s="101"/>
      <c r="Q22" s="101"/>
      <c r="R22" s="102"/>
    </row>
    <row r="23" spans="2:18" ht="9" customHeight="1" x14ac:dyDescent="0.35">
      <c r="B23" s="105"/>
      <c r="C23" s="106"/>
      <c r="D23" s="106"/>
      <c r="E23" s="106"/>
      <c r="F23" s="101"/>
      <c r="G23" s="101"/>
      <c r="H23" s="101"/>
      <c r="I23" s="101"/>
      <c r="J23" s="101"/>
      <c r="K23" s="101"/>
      <c r="L23" s="101"/>
      <c r="M23" s="101"/>
      <c r="N23" s="101"/>
      <c r="O23" s="101"/>
      <c r="P23" s="101"/>
      <c r="Q23" s="101"/>
      <c r="R23" s="102"/>
    </row>
    <row r="24" spans="2:18" x14ac:dyDescent="0.25">
      <c r="B24" s="99" t="s">
        <v>93</v>
      </c>
      <c r="C24" s="100"/>
      <c r="D24" s="100"/>
      <c r="E24" s="100"/>
      <c r="F24" s="100"/>
      <c r="G24" s="101"/>
      <c r="H24" s="101"/>
      <c r="I24" s="101"/>
      <c r="J24" s="101"/>
      <c r="K24" s="101"/>
      <c r="L24" s="101"/>
      <c r="M24" s="101"/>
      <c r="N24" s="101"/>
      <c r="O24" s="101"/>
      <c r="P24" s="101"/>
      <c r="Q24" s="101"/>
      <c r="R24" s="102"/>
    </row>
    <row r="25" spans="2:18" ht="13.5" thickBot="1" x14ac:dyDescent="0.35">
      <c r="B25" s="260" t="s">
        <v>101</v>
      </c>
      <c r="C25" s="261"/>
      <c r="D25" s="262"/>
      <c r="E25" s="262"/>
      <c r="F25" s="262"/>
      <c r="G25" s="262"/>
      <c r="H25" s="262"/>
      <c r="I25" s="262"/>
      <c r="J25" s="262"/>
      <c r="K25" s="262"/>
      <c r="L25" s="262"/>
      <c r="M25" s="262"/>
      <c r="N25" s="262"/>
      <c r="O25" s="262"/>
      <c r="P25" s="262"/>
      <c r="Q25" s="262"/>
      <c r="R25" s="263"/>
    </row>
  </sheetData>
  <mergeCells count="7">
    <mergeCell ref="B3:R5"/>
    <mergeCell ref="B25:R25"/>
    <mergeCell ref="C8:J8"/>
    <mergeCell ref="C9:J9"/>
    <mergeCell ref="C10:J10"/>
    <mergeCell ref="C11:J11"/>
    <mergeCell ref="C19:Q20"/>
  </mergeCells>
  <phoneticPr fontId="3" type="noConversion"/>
  <hyperlinks>
    <hyperlink ref="I22" r:id="rId1" xr:uid="{00000000-0004-0000-0000-000000000000}"/>
    <hyperlink ref="B25" r:id="rId2" xr:uid="{00000000-0004-0000-0000-000001000000}"/>
    <hyperlink ref="C8" location="'Exp Misc'!A1" display="Exposure Misclassification" xr:uid="{00000000-0004-0000-0000-000002000000}"/>
    <hyperlink ref="C9" location="'Dis Misc'!A1" display="Outcome Misclassification" xr:uid="{00000000-0004-0000-0000-000003000000}"/>
    <hyperlink ref="C10" location="'Unmeas Conf'!A1" display="Unmeasured Confounder" xr:uid="{00000000-0004-0000-0000-000004000000}"/>
    <hyperlink ref="C11" location="'Sel Bias'!A1" display="Selection Bias" xr:uid="{00000000-0004-0000-0000-000005000000}"/>
  </hyperlinks>
  <pageMargins left="0.75" right="0.75" top="1" bottom="1" header="0.5" footer="0.5"/>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AZ72"/>
  <sheetViews>
    <sheetView zoomScale="90" zoomScaleNormal="90" workbookViewId="0">
      <selection activeCell="Z6" sqref="Z6"/>
    </sheetView>
  </sheetViews>
  <sheetFormatPr defaultColWidth="11.453125" defaultRowHeight="12.5" x14ac:dyDescent="0.25"/>
  <cols>
    <col min="1" max="1" width="2.81640625" style="2" customWidth="1"/>
    <col min="2" max="2" width="13.81640625" style="2" customWidth="1"/>
    <col min="3" max="3" width="8" style="2" customWidth="1"/>
    <col min="4" max="4" width="2.453125" style="2" customWidth="1"/>
    <col min="5" max="5" width="7.453125" style="2" customWidth="1"/>
    <col min="6" max="6" width="2.36328125" style="2" customWidth="1"/>
    <col min="7" max="7" width="7" style="2" customWidth="1"/>
    <col min="8" max="8" width="2.6328125" style="2" customWidth="1"/>
    <col min="9" max="9" width="8.81640625" style="2" customWidth="1"/>
    <col min="10" max="10" width="10.36328125" style="2" customWidth="1"/>
    <col min="11" max="11" width="5" style="2" customWidth="1"/>
    <col min="12" max="12" width="10.36328125" style="2" customWidth="1"/>
    <col min="13" max="13" width="4.453125" style="2" customWidth="1"/>
    <col min="14" max="14" width="8.36328125" style="2" customWidth="1"/>
    <col min="15" max="15" width="6.453125" style="2" customWidth="1"/>
    <col min="16" max="16" width="15.6328125" style="2" customWidth="1"/>
    <col min="17" max="17" width="2.453125" style="2" customWidth="1"/>
    <col min="18" max="18" width="2.36328125" style="2" customWidth="1"/>
    <col min="19" max="19" width="6.36328125" style="50" customWidth="1"/>
    <col min="20" max="20" width="7.1796875" style="50" customWidth="1"/>
    <col min="21" max="21" width="6.36328125" style="50" customWidth="1"/>
    <col min="22" max="22" width="7.453125" style="50" customWidth="1"/>
    <col min="23" max="23" width="6.81640625" style="50" bestFit="1" customWidth="1"/>
    <col min="24" max="24" width="6.36328125" style="50" bestFit="1" customWidth="1"/>
    <col min="25" max="25" width="6.81640625" style="50" bestFit="1" customWidth="1"/>
    <col min="26" max="26" width="6.36328125" style="50" bestFit="1" customWidth="1"/>
    <col min="27" max="27" width="3.453125" style="2" customWidth="1"/>
    <col min="28" max="28" width="9.36328125" style="2" customWidth="1"/>
    <col min="29" max="29" width="6.453125" style="2" customWidth="1"/>
    <col min="30" max="30" width="8.453125" style="2" customWidth="1"/>
    <col min="31" max="31" width="12.6328125" style="42" customWidth="1"/>
    <col min="32" max="32" width="11" style="2" customWidth="1"/>
    <col min="33" max="33" width="11.453125" style="2" customWidth="1"/>
    <col min="34" max="34" width="14" style="54" bestFit="1" customWidth="1"/>
    <col min="35" max="35" width="7" style="50" bestFit="1" customWidth="1"/>
    <col min="36" max="36" width="6.453125" style="2" bestFit="1" customWidth="1"/>
    <col min="37" max="37" width="7" style="2" bestFit="1" customWidth="1"/>
    <col min="38" max="38" width="6.453125" style="2" bestFit="1" customWidth="1"/>
    <col min="39" max="39" width="7" style="2" bestFit="1" customWidth="1"/>
    <col min="40" max="40" width="6.453125" style="2" bestFit="1" customWidth="1"/>
    <col min="41" max="41" width="7" style="2" bestFit="1" customWidth="1"/>
    <col min="42" max="42" width="6.453125" style="2" bestFit="1" customWidth="1"/>
    <col min="43" max="45" width="11.453125" style="2"/>
    <col min="46" max="49" width="9.1796875" style="131"/>
    <col min="50" max="50" width="0" style="131" hidden="1" customWidth="1"/>
    <col min="51" max="51" width="12.81640625" style="131" hidden="1" customWidth="1"/>
    <col min="52" max="52" width="14.6328125" style="131" customWidth="1"/>
    <col min="53" max="16384" width="11.453125" style="2"/>
  </cols>
  <sheetData>
    <row r="1" spans="2:52" ht="5.25" customHeight="1" x14ac:dyDescent="0.25">
      <c r="AC1" s="289"/>
      <c r="AD1" s="289"/>
      <c r="AE1" s="289"/>
      <c r="AF1" s="289"/>
    </row>
    <row r="2" spans="2:52" ht="29.5" thickBot="1" x14ac:dyDescent="0.4">
      <c r="B2" s="75" t="s">
        <v>75</v>
      </c>
      <c r="C2" s="75"/>
      <c r="D2" s="75"/>
      <c r="E2" s="75"/>
      <c r="F2" s="75"/>
      <c r="G2" s="75"/>
      <c r="H2" s="75"/>
      <c r="I2" s="75"/>
      <c r="J2" s="75"/>
      <c r="K2" s="75"/>
      <c r="L2" s="75"/>
      <c r="M2" s="75"/>
      <c r="N2" s="206" t="s">
        <v>74</v>
      </c>
      <c r="O2" s="206"/>
      <c r="P2" s="206"/>
      <c r="Q2" s="1"/>
      <c r="R2" s="1"/>
      <c r="S2" s="207" t="s">
        <v>96</v>
      </c>
      <c r="T2" s="207"/>
      <c r="U2" s="207"/>
      <c r="V2" s="207"/>
      <c r="W2" s="207"/>
      <c r="X2" s="207"/>
      <c r="Y2" s="207"/>
      <c r="Z2" s="207"/>
      <c r="AA2" s="207"/>
      <c r="AB2" s="10"/>
      <c r="AC2" s="52" t="s">
        <v>41</v>
      </c>
      <c r="AD2" s="52" t="s">
        <v>43</v>
      </c>
      <c r="AE2" s="52" t="s">
        <v>43</v>
      </c>
      <c r="AF2" s="52" t="s">
        <v>45</v>
      </c>
      <c r="AH2" s="207" t="s">
        <v>55</v>
      </c>
      <c r="AI2" s="207"/>
      <c r="AJ2" s="207"/>
      <c r="AK2" s="207"/>
      <c r="AL2" s="207"/>
      <c r="AM2" s="50"/>
      <c r="AT2" s="202" t="s">
        <v>186</v>
      </c>
      <c r="AU2" s="202" t="s">
        <v>187</v>
      </c>
      <c r="AV2" s="202" t="s">
        <v>188</v>
      </c>
      <c r="AW2" s="202" t="s">
        <v>189</v>
      </c>
      <c r="AX2" s="202" t="s">
        <v>190</v>
      </c>
      <c r="AY2" s="202" t="s">
        <v>191</v>
      </c>
      <c r="AZ2" s="202" t="s">
        <v>192</v>
      </c>
    </row>
    <row r="3" spans="2:52" ht="13.5" thickTop="1" x14ac:dyDescent="0.3">
      <c r="B3" s="19"/>
      <c r="S3" s="50" t="s">
        <v>137</v>
      </c>
      <c r="V3" s="54">
        <f ca="1">IFERROR((J18/J22)/(L18/L22),"")</f>
        <v>0.93141136288515913</v>
      </c>
      <c r="W3" s="50" t="s">
        <v>138</v>
      </c>
      <c r="Z3" s="54">
        <f ca="1">IFERROR((J18/J20)/(L18/L20),"")</f>
        <v>0.91026934570997542</v>
      </c>
      <c r="AA3" s="50"/>
      <c r="AB3" s="50" t="str">
        <f>B8</f>
        <v>Se (BC+)</v>
      </c>
      <c r="AC3" s="53">
        <f ca="1">V11</f>
        <v>0.80499082118876275</v>
      </c>
      <c r="AD3" s="54">
        <f ca="1">(AC3*(I8+G8-C8-E8)+(C8+E8))/2</f>
        <v>0.88174678741606693</v>
      </c>
      <c r="AE3" s="196">
        <f ca="1">IF(AD3&lt;E8,C8+SQRT((E8-C8)*(2*AD3-C8-E8)),IF(AD3&gt;G8,I8-SQRT((I8+G8-2*AD3)*(I8-G8)),AD3))</f>
        <v>0.88174678741606693</v>
      </c>
      <c r="AF3" s="60">
        <f ca="1">AE3</f>
        <v>0.88174678741606693</v>
      </c>
      <c r="AG3" s="201">
        <f ca="1">IF(AF13=0,0,IF(AF13=1,C18,_xlfn.BINOM.INV(C18,AF13,RAND())))</f>
        <v>153</v>
      </c>
      <c r="AH3" s="52" t="s">
        <v>54</v>
      </c>
      <c r="AI3" s="52" t="str">
        <f>W21</f>
        <v>Se(D+)</v>
      </c>
      <c r="AJ3" s="52" t="str">
        <f>X21</f>
        <v>Se(D-)</v>
      </c>
      <c r="AK3" s="52" t="str">
        <f>Y21</f>
        <v>Sp(D+)</v>
      </c>
      <c r="AL3" s="52" t="str">
        <f>Z21</f>
        <v>Sp(D-)</v>
      </c>
      <c r="AM3" s="52" t="str">
        <f>AI3</f>
        <v>Se(D+)</v>
      </c>
      <c r="AN3" s="52" t="str">
        <f>AJ3</f>
        <v>Se(D-)</v>
      </c>
      <c r="AO3" s="52" t="str">
        <f>AK3</f>
        <v>Sp(D+)</v>
      </c>
      <c r="AP3" s="52" t="str">
        <f>AL3</f>
        <v>Sp(D-)</v>
      </c>
      <c r="AS3" s="20" t="s">
        <v>196</v>
      </c>
      <c r="AT3" s="203" t="s">
        <v>193</v>
      </c>
      <c r="AU3" s="203">
        <f>IF((C18/C22)/(E18/E22)&gt;0,(C18/C22)/(E18/E22),"")</f>
        <v>0.96538246004000106</v>
      </c>
      <c r="AV3" s="203">
        <f>IF(AU3&lt;&gt;"",AU3-EXP(LN((C18/C22)/(E18/E22))-1.96*V4),"")</f>
        <v>0.11300782936665954</v>
      </c>
      <c r="AW3" s="203">
        <f>IF(AU3&lt;&gt;"",EXP(LN((C18/C22)/(E18/E22))+1.96*V4)-AU3,"")</f>
        <v>0.12799040749439616</v>
      </c>
      <c r="AX3" s="203"/>
      <c r="AY3" s="203"/>
      <c r="AZ3" s="203">
        <v>2.5</v>
      </c>
    </row>
    <row r="4" spans="2:52" x14ac:dyDescent="0.25">
      <c r="S4" s="50" t="s">
        <v>3</v>
      </c>
      <c r="V4" s="50">
        <f>IFERROR(SQRT(1/C18-1/C22+1/E18-1/E22),"")</f>
        <v>6.3519498427844295E-2</v>
      </c>
      <c r="W4" s="50" t="s">
        <v>2</v>
      </c>
      <c r="Z4" s="50">
        <f>IFERROR(SQRT(1/C18+1/C20+1/E18+1/E20),"")</f>
        <v>8.4089681755556769E-2</v>
      </c>
      <c r="AA4" s="50"/>
      <c r="AB4" s="50" t="str">
        <f>B9</f>
        <v>Se (BC-)</v>
      </c>
      <c r="AC4" s="53">
        <f ca="1">V12</f>
        <v>0.56699862735650453</v>
      </c>
      <c r="AD4" s="54">
        <f ca="1">(AC4*(I9+G9-C9-E9)+(C9+E9))/2</f>
        <v>0.7984495195747765</v>
      </c>
      <c r="AE4" s="197">
        <f ca="1">IF(AD4&lt;E9,C9+SQRT((E9-C9)*(2*AD4-C9-E9)),IF(AD4&gt;G9,I9-SQRT((I9+G9-2*AD4)*(I9-G9)),AD4))</f>
        <v>0.7984495195747765</v>
      </c>
      <c r="AF4" s="60">
        <f ca="1">IF(E12=1,AE3,AE4)</f>
        <v>0.88174678741606693</v>
      </c>
      <c r="AG4" s="201">
        <f ca="1">IF(AF15=0,E18,IF(AF15=1,0,_xlfn.BINOM.INV(E18,1-AF15,RAND())))</f>
        <v>21</v>
      </c>
      <c r="AH4" s="54">
        <v>0</v>
      </c>
      <c r="AI4" s="50">
        <f t="array" aca="1" ref="AI4:AI54" ca="1">FREQUENCY(W22:W50022,AH4:AH54)</f>
        <v>0</v>
      </c>
      <c r="AJ4" s="50">
        <f t="array" aca="1" ref="AJ4:AJ54" ca="1">FREQUENCY(X22:X50023,AH4:AH54)</f>
        <v>0</v>
      </c>
      <c r="AK4" s="50">
        <f t="array" aca="1" ref="AK4:AK54" ca="1">FREQUENCY(Y22:Y50022,AH4:AH54)</f>
        <v>0</v>
      </c>
      <c r="AL4" s="50">
        <f t="array" aca="1" ref="AL4:AL54" ca="1">FREQUENCY(Z22:Z50023,AH4:AH54)</f>
        <v>0</v>
      </c>
      <c r="AM4" s="78">
        <f t="shared" ref="AM4:AM35" ca="1" si="0">AI4/AI$55</f>
        <v>0</v>
      </c>
      <c r="AN4" s="78">
        <f t="shared" ref="AN4:AN35" ca="1" si="1">AJ4/AJ$55</f>
        <v>0</v>
      </c>
      <c r="AO4" s="78">
        <f t="shared" ref="AO4:AO35" ca="1" si="2">AK4/AK$55</f>
        <v>0</v>
      </c>
      <c r="AP4" s="78">
        <f t="shared" ref="AP4:AP35" ca="1" si="3">AL4/AL$55</f>
        <v>0</v>
      </c>
      <c r="AS4" s="20" t="s">
        <v>197</v>
      </c>
      <c r="AT4" s="203" t="s">
        <v>198</v>
      </c>
      <c r="AU4" s="203">
        <f>IF(S23&lt;&gt;"",PERCENTILE(S23:S50014,0.5),"")</f>
        <v>0.92655744433951837</v>
      </c>
      <c r="AV4" s="203">
        <f>IF(S23&lt;&gt;"",AU4-PERCENTILE(S23:S50014,0.025),"")</f>
        <v>0.32400211441593385</v>
      </c>
      <c r="AW4" s="203">
        <f>IF(S23&lt;&gt;"",PERCENTILE(S23:S50014,0.975)-AU4,"")</f>
        <v>3.0690851352980664E-2</v>
      </c>
      <c r="AX4" s="203"/>
      <c r="AY4" s="203"/>
      <c r="AZ4" s="203">
        <v>1.5</v>
      </c>
    </row>
    <row r="5" spans="2:52" x14ac:dyDescent="0.25">
      <c r="S5" s="50" t="s">
        <v>140</v>
      </c>
      <c r="V5" s="50">
        <f ca="1">IFERROR(SQRT(1/J18-1/J22+1/L18-1/L22),"")</f>
        <v>7.0319149325598587E-2</v>
      </c>
      <c r="W5" s="50" t="s">
        <v>139</v>
      </c>
      <c r="Z5" s="50">
        <f ca="1">IFERROR(SQRT(1/J18+1/L18+1/J20+1/L20),"")</f>
        <v>9.2213191586303353E-2</v>
      </c>
      <c r="AA5" s="50"/>
      <c r="AB5" s="50" t="str">
        <f>B10</f>
        <v>Sp (BC+)</v>
      </c>
      <c r="AC5" s="53">
        <f ca="1">Z11</f>
        <v>0.87081871170340241</v>
      </c>
      <c r="AD5" s="54">
        <f ca="1">(AC5*(I10+G10-C10-E10)+(C10+E10))/2</f>
        <v>0.95095730981923821</v>
      </c>
      <c r="AE5" s="197">
        <f ca="1">IF(AD5&lt;E10,C10+SQRT((E10-C10)*(2*AD5-C10-E10)),IF(AD5&gt;G10,I10-SQRT((I10+G10-2*AD5)*(I10-G10)),AD5))</f>
        <v>0.96196277574635758</v>
      </c>
      <c r="AF5" s="60">
        <f ca="1">AE5</f>
        <v>0.96196277574635758</v>
      </c>
      <c r="AH5" s="54">
        <f>AH4+0.02</f>
        <v>0.02</v>
      </c>
      <c r="AI5" s="50">
        <f ca="1"/>
        <v>0</v>
      </c>
      <c r="AJ5" s="50">
        <f ca="1"/>
        <v>0</v>
      </c>
      <c r="AK5" s="50">
        <f ca="1"/>
        <v>0</v>
      </c>
      <c r="AL5" s="50">
        <f ca="1"/>
        <v>0</v>
      </c>
      <c r="AM5" s="78">
        <f t="shared" ca="1" si="0"/>
        <v>0</v>
      </c>
      <c r="AN5" s="78">
        <f t="shared" ca="1" si="1"/>
        <v>0</v>
      </c>
      <c r="AO5" s="78">
        <f t="shared" ca="1" si="2"/>
        <v>0</v>
      </c>
      <c r="AP5" s="78">
        <f t="shared" ca="1" si="3"/>
        <v>0</v>
      </c>
      <c r="AT5" s="203" t="s">
        <v>67</v>
      </c>
      <c r="AU5" s="203">
        <f>IF(U23&lt;&gt;"",PERCENTILE(U23:U50014,0.5),"")</f>
        <v>0.88069845875834263</v>
      </c>
      <c r="AV5" s="203">
        <f>IF(U23&lt;&gt;"",AU5-PERCENTILE(U23:U50014,0.025),"")</f>
        <v>0.22949303613132199</v>
      </c>
      <c r="AW5" s="203">
        <f>IF(U23&lt;&gt;"",PERCENTILE(U23:U50014,0.975)-AU5,"")</f>
        <v>0.16573261981083198</v>
      </c>
      <c r="AX5" s="203"/>
      <c r="AY5" s="203"/>
      <c r="AZ5" s="203">
        <v>0.5</v>
      </c>
    </row>
    <row r="6" spans="2:52" ht="12.75" customHeight="1" x14ac:dyDescent="0.3">
      <c r="B6" s="208" t="s">
        <v>7</v>
      </c>
      <c r="C6" s="208"/>
      <c r="D6" s="208"/>
      <c r="E6" s="208"/>
      <c r="F6" s="208"/>
      <c r="G6" s="208"/>
      <c r="H6" s="21"/>
      <c r="I6" s="21"/>
      <c r="J6" s="116" t="s">
        <v>83</v>
      </c>
      <c r="K6" s="209" t="s">
        <v>5</v>
      </c>
      <c r="L6" s="209"/>
      <c r="M6" s="209"/>
      <c r="N6" s="209"/>
      <c r="O6" s="209"/>
      <c r="P6" s="209"/>
      <c r="Q6" s="1"/>
      <c r="R6" s="1"/>
      <c r="S6" s="50" t="s">
        <v>142</v>
      </c>
      <c r="V6" s="77">
        <f ca="1">IFERROR(EXP(LN(V3)-V5*NORMINV(RAND(),0,1)),"")</f>
        <v>0.91940974403828024</v>
      </c>
      <c r="W6" s="50" t="s">
        <v>95</v>
      </c>
      <c r="Z6" s="50">
        <f ca="1">IFERROR(EXP(LN(Z3)-Z5*NORMINV(RAND(),0,1)),"")</f>
        <v>0.88059969273737571</v>
      </c>
      <c r="AB6" s="50" t="str">
        <f>B11</f>
        <v>Sp (BC-)</v>
      </c>
      <c r="AC6" s="53">
        <f ca="1">Z12</f>
        <v>0.92543623305927059</v>
      </c>
      <c r="AD6" s="54">
        <f ca="1">(AC6*(I11+G11-C11-E11)+(C11+E11))/2</f>
        <v>0.95478053631414894</v>
      </c>
      <c r="AE6" s="197">
        <f ca="1">IF(AD6&lt;E11,C11+SQRT((E11-C11)*(2*AD6-C11-E11)),IF(AD6&gt;G11,I11-SQRT((I11+G11-2*AD6)*(I11-G11)),AD6))</f>
        <v>0.97110165766456213</v>
      </c>
      <c r="AF6" s="60">
        <f ca="1">IF(E12=1,AE5,AE6)</f>
        <v>0.96196277574635758</v>
      </c>
      <c r="AH6" s="54">
        <f t="shared" ref="AH6:AH53" si="4">AH5+0.02</f>
        <v>0.04</v>
      </c>
      <c r="AI6" s="50">
        <f ca="1"/>
        <v>0</v>
      </c>
      <c r="AJ6" s="50">
        <f ca="1"/>
        <v>0</v>
      </c>
      <c r="AK6" s="50">
        <f ca="1"/>
        <v>0</v>
      </c>
      <c r="AL6" s="50">
        <f ca="1"/>
        <v>0</v>
      </c>
      <c r="AM6" s="78">
        <f t="shared" ca="1" si="0"/>
        <v>0</v>
      </c>
      <c r="AN6" s="78">
        <f t="shared" ca="1" si="1"/>
        <v>0</v>
      </c>
      <c r="AO6" s="78">
        <f t="shared" ca="1" si="2"/>
        <v>0</v>
      </c>
      <c r="AP6" s="78">
        <f t="shared" ca="1" si="3"/>
        <v>0</v>
      </c>
    </row>
    <row r="7" spans="2:52" ht="15.75" customHeight="1" x14ac:dyDescent="0.35">
      <c r="C7" s="9" t="s">
        <v>37</v>
      </c>
      <c r="D7" s="61"/>
      <c r="E7" s="9" t="s">
        <v>38</v>
      </c>
      <c r="F7" s="1"/>
      <c r="G7" s="9" t="s">
        <v>40</v>
      </c>
      <c r="H7" s="22"/>
      <c r="I7" s="46" t="s">
        <v>39</v>
      </c>
      <c r="J7" s="80" t="str">
        <f>IF(C8&lt;=E8,IF(E8&lt;=G8,IF(G8&lt;=I8,"No error","Error"),"Error"),"Error")</f>
        <v>No error</v>
      </c>
      <c r="K7" s="290"/>
      <c r="L7" s="290"/>
      <c r="M7" s="290"/>
      <c r="N7" s="290"/>
      <c r="O7" s="290"/>
      <c r="P7" s="290"/>
      <c r="Q7" s="22"/>
      <c r="R7" s="22"/>
      <c r="S7" s="50" t="s">
        <v>136</v>
      </c>
      <c r="V7" s="50" t="b">
        <f ca="1">OR(AF18&lt;=0,AF19&lt;=0,AF20&lt;=0,AF21&lt;=0)</f>
        <v>0</v>
      </c>
      <c r="AE7" s="2"/>
      <c r="AF7" s="42"/>
      <c r="AG7" s="42"/>
      <c r="AH7" s="54">
        <f t="shared" si="4"/>
        <v>0.06</v>
      </c>
      <c r="AI7" s="50">
        <f ca="1"/>
        <v>0</v>
      </c>
      <c r="AJ7" s="50">
        <f ca="1"/>
        <v>0</v>
      </c>
      <c r="AK7" s="50">
        <f ca="1"/>
        <v>0</v>
      </c>
      <c r="AL7" s="50">
        <f ca="1"/>
        <v>0</v>
      </c>
      <c r="AM7" s="78">
        <f t="shared" ca="1" si="0"/>
        <v>0</v>
      </c>
      <c r="AN7" s="78">
        <f t="shared" ca="1" si="1"/>
        <v>0</v>
      </c>
      <c r="AO7" s="78">
        <f t="shared" ca="1" si="2"/>
        <v>0</v>
      </c>
      <c r="AP7" s="78">
        <f t="shared" ca="1" si="3"/>
        <v>0</v>
      </c>
      <c r="AT7" s="202" t="s">
        <v>186</v>
      </c>
      <c r="AU7" s="202" t="s">
        <v>187</v>
      </c>
      <c r="AV7" s="202" t="s">
        <v>188</v>
      </c>
      <c r="AW7" s="202" t="s">
        <v>189</v>
      </c>
      <c r="AX7" s="202" t="s">
        <v>190</v>
      </c>
      <c r="AY7" s="202" t="s">
        <v>191</v>
      </c>
      <c r="AZ7" s="202" t="s">
        <v>192</v>
      </c>
    </row>
    <row r="8" spans="2:52" ht="15" customHeight="1" x14ac:dyDescent="0.3">
      <c r="B8" s="24" t="str">
        <f>CONCATENATE("Se (",IF(G14="","D+",CONCATENATE(G14,"+")),")")</f>
        <v>Se (BC+)</v>
      </c>
      <c r="C8" s="122">
        <v>0.5</v>
      </c>
      <c r="E8" s="122">
        <v>0.7</v>
      </c>
      <c r="G8" s="47">
        <v>0.9</v>
      </c>
      <c r="I8" s="47">
        <v>1</v>
      </c>
      <c r="J8" s="1" t="s">
        <v>98</v>
      </c>
      <c r="K8" s="291"/>
      <c r="L8" s="291"/>
      <c r="M8" s="291"/>
      <c r="N8" s="291"/>
      <c r="O8" s="291"/>
      <c r="P8" s="291"/>
      <c r="Q8" s="22"/>
      <c r="R8" s="22"/>
      <c r="S8" s="207" t="s">
        <v>100</v>
      </c>
      <c r="T8" s="207"/>
      <c r="U8" s="207"/>
      <c r="V8" s="207"/>
      <c r="W8" s="207"/>
      <c r="X8" s="207"/>
      <c r="Y8" s="207"/>
      <c r="Z8" s="207"/>
      <c r="AH8" s="54">
        <f t="shared" si="4"/>
        <v>0.08</v>
      </c>
      <c r="AI8" s="50">
        <f ca="1"/>
        <v>0</v>
      </c>
      <c r="AJ8" s="50">
        <f ca="1"/>
        <v>0</v>
      </c>
      <c r="AK8" s="50">
        <f ca="1"/>
        <v>0</v>
      </c>
      <c r="AL8" s="50">
        <f ca="1"/>
        <v>0</v>
      </c>
      <c r="AM8" s="78">
        <f t="shared" ca="1" si="0"/>
        <v>0</v>
      </c>
      <c r="AN8" s="78">
        <f t="shared" ca="1" si="1"/>
        <v>0</v>
      </c>
      <c r="AO8" s="78">
        <f t="shared" ca="1" si="2"/>
        <v>0</v>
      </c>
      <c r="AP8" s="78">
        <f t="shared" ca="1" si="3"/>
        <v>0</v>
      </c>
      <c r="AT8" s="203" t="s">
        <v>193</v>
      </c>
      <c r="AU8" s="203">
        <f>IF((C18/C20)/(E18/E20)&gt;0,(C18/C20)/(E18/E20),"")</f>
        <v>0.95424058714868398</v>
      </c>
      <c r="AV8" s="203">
        <f>IF(AU8&lt;&gt;"",AU8-EXP(LN((C18/C20)/(E18/E20))-1.96*Z4),"")</f>
        <v>0.14499693294351768</v>
      </c>
      <c r="AW8" s="203">
        <f>IF(AU8&lt;&gt;"",EXP(LN((C18/C20)/(E18/E20))+1.96*Z4)-AU8,"")</f>
        <v>0.17097688404202416</v>
      </c>
      <c r="AX8" s="203"/>
      <c r="AY8" s="203"/>
      <c r="AZ8" s="203">
        <v>2.5</v>
      </c>
    </row>
    <row r="9" spans="2:52" ht="13" x14ac:dyDescent="0.3">
      <c r="B9" s="24" t="str">
        <f>CONCATENATE("Se (",IF(G14="","D-",CONCATENATE(G14,"-")),")")</f>
        <v>Se (BC-)</v>
      </c>
      <c r="C9" s="122">
        <v>0.5</v>
      </c>
      <c r="E9" s="122">
        <v>0.7</v>
      </c>
      <c r="G9" s="26">
        <v>0.9</v>
      </c>
      <c r="I9" s="26">
        <v>1</v>
      </c>
      <c r="J9" s="26">
        <v>0.8</v>
      </c>
      <c r="K9" s="291"/>
      <c r="L9" s="291"/>
      <c r="M9" s="291"/>
      <c r="N9" s="291"/>
      <c r="O9" s="291"/>
      <c r="P9" s="291"/>
      <c r="S9" s="50" t="s">
        <v>127</v>
      </c>
      <c r="V9" s="50">
        <f ca="1">NORMINV(RAND(),0,1)</f>
        <v>0.85958407304741913</v>
      </c>
      <c r="W9" s="50" t="s">
        <v>127</v>
      </c>
      <c r="Z9" s="50">
        <f ca="1">NORMINV(RAND(),0,1)</f>
        <v>1.1302697508423063</v>
      </c>
      <c r="AE9" s="167" t="s">
        <v>172</v>
      </c>
      <c r="AF9" s="50">
        <f ca="1">IFERROR(J18/N18,"")</f>
        <v>0.10336538461538461</v>
      </c>
      <c r="AH9" s="54">
        <f t="shared" si="4"/>
        <v>0.1</v>
      </c>
      <c r="AI9" s="50">
        <f ca="1"/>
        <v>0</v>
      </c>
      <c r="AJ9" s="50">
        <f ca="1"/>
        <v>0</v>
      </c>
      <c r="AK9" s="50">
        <f ca="1"/>
        <v>0</v>
      </c>
      <c r="AL9" s="50">
        <f ca="1"/>
        <v>0</v>
      </c>
      <c r="AM9" s="78">
        <f t="shared" ca="1" si="0"/>
        <v>0</v>
      </c>
      <c r="AN9" s="78">
        <f t="shared" ca="1" si="1"/>
        <v>0</v>
      </c>
      <c r="AO9" s="78">
        <f t="shared" ca="1" si="2"/>
        <v>0</v>
      </c>
      <c r="AP9" s="78">
        <f t="shared" ca="1" si="3"/>
        <v>0</v>
      </c>
      <c r="AT9" s="203" t="s">
        <v>198</v>
      </c>
      <c r="AU9" s="203">
        <f>IF(T23&lt;&gt;"",PERCENTILE(T23:T50014,0.5),"")</f>
        <v>0.90411291823986761</v>
      </c>
      <c r="AV9" s="203">
        <f>IF(T23&lt;&gt;"",AU9-PERCENTILE(T23:T50014,0.025),"")</f>
        <v>0.3565898417136657</v>
      </c>
      <c r="AW9" s="203">
        <f>IF(T23&lt;&gt;"",PERCENTILE(T23:T50014,0.975)-AU9,"")</f>
        <v>3.9496557150668132E-2</v>
      </c>
      <c r="AX9" s="203"/>
      <c r="AY9" s="203"/>
      <c r="AZ9" s="203">
        <v>1.5</v>
      </c>
    </row>
    <row r="10" spans="2:52" ht="13" x14ac:dyDescent="0.3">
      <c r="B10" s="24" t="str">
        <f>CONCATENATE("Sp (",IF(G14="","D+",CONCATENATE(G14,"+")),")")</f>
        <v>Sp (BC+)</v>
      </c>
      <c r="C10" s="122">
        <v>0.88</v>
      </c>
      <c r="E10" s="122">
        <v>0.9</v>
      </c>
      <c r="G10" s="47">
        <v>0.92</v>
      </c>
      <c r="I10" s="47">
        <v>1</v>
      </c>
      <c r="J10" s="1" t="s">
        <v>99</v>
      </c>
      <c r="K10" s="291"/>
      <c r="L10" s="291"/>
      <c r="M10" s="291"/>
      <c r="N10" s="291"/>
      <c r="O10" s="291"/>
      <c r="P10" s="291"/>
      <c r="S10" s="50" t="s">
        <v>128</v>
      </c>
      <c r="T10" s="2"/>
      <c r="V10" s="50">
        <f ca="1">NORMINV(RAND(),$J$9*V9,SQRT(1-J9^2))</f>
        <v>0.16873797757941389</v>
      </c>
      <c r="W10" s="50" t="s">
        <v>128</v>
      </c>
      <c r="X10" s="2"/>
      <c r="Z10" s="50">
        <f ca="1">NORMINV(RAND(),$J$11*Z9,SQRT(1-J11^2))</f>
        <v>1.442620043826421</v>
      </c>
      <c r="AE10" s="167" t="s">
        <v>173</v>
      </c>
      <c r="AF10" s="50">
        <f ca="1">IFERROR(J20/N20,"")</f>
        <v>0.11240934730056407</v>
      </c>
      <c r="AH10" s="54">
        <f t="shared" si="4"/>
        <v>0.12000000000000001</v>
      </c>
      <c r="AI10" s="50">
        <f ca="1"/>
        <v>0</v>
      </c>
      <c r="AJ10" s="50">
        <f ca="1"/>
        <v>0</v>
      </c>
      <c r="AK10" s="50">
        <f ca="1"/>
        <v>0</v>
      </c>
      <c r="AL10" s="50">
        <f ca="1"/>
        <v>0</v>
      </c>
      <c r="AM10" s="78">
        <f t="shared" ca="1" si="0"/>
        <v>0</v>
      </c>
      <c r="AN10" s="78">
        <f t="shared" ca="1" si="1"/>
        <v>0</v>
      </c>
      <c r="AO10" s="78">
        <f t="shared" ca="1" si="2"/>
        <v>0</v>
      </c>
      <c r="AP10" s="78">
        <f t="shared" ca="1" si="3"/>
        <v>0</v>
      </c>
      <c r="AT10" s="203" t="s">
        <v>67</v>
      </c>
      <c r="AU10" s="203">
        <f>IF(V23&lt;&gt;"",PERCENTILE(V23:V50014,0.5),"")</f>
        <v>0.8771828350169959</v>
      </c>
      <c r="AV10" s="203">
        <f>IF(V23&lt;&gt;"",AU10-PERCENTILE(V23:V50014,0.025),"")</f>
        <v>0.26487410202046413</v>
      </c>
      <c r="AW10" s="203">
        <f>IF(V23&lt;&gt;"",PERCENTILE(V23:V50014,0.975)-AU10,"")</f>
        <v>0.41087137640893356</v>
      </c>
      <c r="AX10" s="203"/>
      <c r="AY10" s="203"/>
      <c r="AZ10" s="203">
        <v>0.5</v>
      </c>
    </row>
    <row r="11" spans="2:52" ht="13" x14ac:dyDescent="0.3">
      <c r="B11" s="24" t="str">
        <f>CONCATENATE("Sp (",IF(G14="","D-",CONCATENATE(G14,"-")),")")</f>
        <v>Sp (BC-)</v>
      </c>
      <c r="C11" s="122">
        <v>0.88</v>
      </c>
      <c r="E11" s="122">
        <v>0.9</v>
      </c>
      <c r="G11" s="26">
        <v>0.92</v>
      </c>
      <c r="I11" s="26">
        <v>1</v>
      </c>
      <c r="J11" s="26">
        <v>0.8</v>
      </c>
      <c r="K11" s="291"/>
      <c r="L11" s="291"/>
      <c r="M11" s="291"/>
      <c r="N11" s="291"/>
      <c r="O11" s="291"/>
      <c r="P11" s="291"/>
      <c r="S11" s="50" t="s">
        <v>129</v>
      </c>
      <c r="T11" s="2"/>
      <c r="V11" s="50">
        <f ca="1">_xlfn.NORM.DIST(V9,0,1,TRUE)</f>
        <v>0.80499082118876275</v>
      </c>
      <c r="W11" s="50" t="s">
        <v>129</v>
      </c>
      <c r="X11" s="2"/>
      <c r="Z11" s="50">
        <f ca="1">_xlfn.NORM.DIST(Z9,0,1,TRUE)</f>
        <v>0.87081871170340241</v>
      </c>
      <c r="AE11" s="167" t="s">
        <v>116</v>
      </c>
      <c r="AF11" s="50">
        <f ca="1">IFERROR(_xlfn.BETA.INV(RAND(),AF18,AF19),"")</f>
        <v>0.10237960304923599</v>
      </c>
      <c r="AH11" s="54">
        <f t="shared" si="4"/>
        <v>0.14000000000000001</v>
      </c>
      <c r="AI11" s="50">
        <f ca="1"/>
        <v>0</v>
      </c>
      <c r="AJ11" s="50">
        <f ca="1"/>
        <v>0</v>
      </c>
      <c r="AK11" s="50">
        <f ca="1"/>
        <v>0</v>
      </c>
      <c r="AL11" s="50">
        <f ca="1"/>
        <v>0</v>
      </c>
      <c r="AM11" s="78">
        <f t="shared" ca="1" si="0"/>
        <v>0</v>
      </c>
      <c r="AN11" s="78">
        <f t="shared" ca="1" si="1"/>
        <v>0</v>
      </c>
      <c r="AO11" s="78">
        <f t="shared" ca="1" si="2"/>
        <v>0</v>
      </c>
      <c r="AP11" s="78">
        <f t="shared" ca="1" si="3"/>
        <v>0</v>
      </c>
    </row>
    <row r="12" spans="2:52" ht="18" customHeight="1" x14ac:dyDescent="0.3">
      <c r="B12" s="213" t="s">
        <v>44</v>
      </c>
      <c r="C12" s="213"/>
      <c r="D12" s="27"/>
      <c r="E12" s="26">
        <v>1</v>
      </c>
      <c r="F12" s="1"/>
      <c r="G12" s="1" t="s">
        <v>46</v>
      </c>
      <c r="H12" s="56"/>
      <c r="I12" s="55">
        <v>100</v>
      </c>
      <c r="J12" s="22"/>
      <c r="K12" s="291"/>
      <c r="L12" s="291"/>
      <c r="M12" s="291"/>
      <c r="N12" s="291"/>
      <c r="O12" s="291"/>
      <c r="P12" s="291"/>
      <c r="S12" s="50" t="s">
        <v>130</v>
      </c>
      <c r="T12" s="2"/>
      <c r="V12" s="50">
        <f ca="1">_xlfn.NORM.DIST(V10,0,1,TRUE)</f>
        <v>0.56699862735650453</v>
      </c>
      <c r="W12" s="50" t="s">
        <v>130</v>
      </c>
      <c r="X12" s="2"/>
      <c r="Z12" s="50">
        <f ca="1">_xlfn.NORM.DIST(Z10,0,1,TRUE)</f>
        <v>0.92543623305927059</v>
      </c>
      <c r="AE12" s="167" t="s">
        <v>117</v>
      </c>
      <c r="AF12" s="50">
        <f ca="1">IFERROR(_xlfn.BETA.INV(RAND(),AF20,AF21),"")</f>
        <v>0.11898347899380757</v>
      </c>
      <c r="AH12" s="54">
        <f t="shared" si="4"/>
        <v>0.16</v>
      </c>
      <c r="AI12" s="50">
        <f ca="1"/>
        <v>0</v>
      </c>
      <c r="AJ12" s="50">
        <f ca="1"/>
        <v>0</v>
      </c>
      <c r="AK12" s="50">
        <f ca="1"/>
        <v>0</v>
      </c>
      <c r="AL12" s="50">
        <f ca="1"/>
        <v>0</v>
      </c>
      <c r="AM12" s="78">
        <f t="shared" ca="1" si="0"/>
        <v>0</v>
      </c>
      <c r="AN12" s="78">
        <f t="shared" ca="1" si="1"/>
        <v>0</v>
      </c>
      <c r="AO12" s="78">
        <f t="shared" ca="1" si="2"/>
        <v>0</v>
      </c>
      <c r="AP12" s="78">
        <f t="shared" ca="1" si="3"/>
        <v>0</v>
      </c>
    </row>
    <row r="13" spans="2:52" ht="13" x14ac:dyDescent="0.3">
      <c r="B13" s="266" t="s">
        <v>33</v>
      </c>
      <c r="C13" s="266"/>
      <c r="D13" s="266"/>
      <c r="E13" s="266"/>
      <c r="F13" s="266"/>
      <c r="G13" s="266"/>
      <c r="I13" s="109" t="b">
        <v>0</v>
      </c>
      <c r="J13" s="22"/>
      <c r="K13" s="291"/>
      <c r="L13" s="291"/>
      <c r="M13" s="291"/>
      <c r="N13" s="291"/>
      <c r="O13" s="291"/>
      <c r="P13" s="291"/>
      <c r="S13" s="9" t="s">
        <v>103</v>
      </c>
      <c r="T13" s="10"/>
      <c r="U13" s="10"/>
      <c r="V13" s="66"/>
      <c r="W13" s="66"/>
      <c r="X13" s="10"/>
      <c r="Y13" s="66"/>
      <c r="Z13" s="66"/>
      <c r="AE13" s="50" t="s">
        <v>182</v>
      </c>
      <c r="AF13" s="50">
        <f ca="1">IFERROR((P18*AF11)/(P18*AF11+(1-P20)*(1-AF11)),"")</f>
        <v>0.72557369794741922</v>
      </c>
      <c r="AH13" s="54">
        <f t="shared" si="4"/>
        <v>0.18</v>
      </c>
      <c r="AI13" s="50">
        <f ca="1"/>
        <v>0</v>
      </c>
      <c r="AJ13" s="50">
        <f ca="1"/>
        <v>0</v>
      </c>
      <c r="AK13" s="50">
        <f ca="1"/>
        <v>0</v>
      </c>
      <c r="AL13" s="50">
        <f ca="1"/>
        <v>0</v>
      </c>
      <c r="AM13" s="78">
        <f t="shared" ca="1" si="0"/>
        <v>0</v>
      </c>
      <c r="AN13" s="78">
        <f t="shared" ca="1" si="1"/>
        <v>0</v>
      </c>
      <c r="AO13" s="78">
        <f t="shared" ca="1" si="2"/>
        <v>0</v>
      </c>
      <c r="AP13" s="78">
        <f t="shared" ca="1" si="3"/>
        <v>0</v>
      </c>
    </row>
    <row r="14" spans="2:52" ht="13" x14ac:dyDescent="0.3">
      <c r="B14" s="1" t="s">
        <v>10</v>
      </c>
      <c r="C14" s="49" t="s">
        <v>77</v>
      </c>
      <c r="D14" s="1" t="s">
        <v>11</v>
      </c>
      <c r="G14" s="25" t="s">
        <v>76</v>
      </c>
      <c r="H14" s="33"/>
      <c r="I14" s="48"/>
      <c r="J14" s="48"/>
      <c r="K14" s="292"/>
      <c r="L14" s="292"/>
      <c r="M14" s="292"/>
      <c r="N14" s="292"/>
      <c r="O14" s="292"/>
      <c r="P14" s="292"/>
      <c r="S14" s="86" t="s">
        <v>104</v>
      </c>
      <c r="T14" s="2"/>
      <c r="V14" s="140">
        <f>C18/G18</f>
        <v>0.12920673076923078</v>
      </c>
      <c r="W14" s="86" t="s">
        <v>106</v>
      </c>
      <c r="X14" s="2"/>
      <c r="Z14" s="140">
        <f>1-V14</f>
        <v>0.87079326923076916</v>
      </c>
      <c r="AE14" s="50" t="s">
        <v>183</v>
      </c>
      <c r="AF14" s="50">
        <f ca="1">IFERROR((P19*AF12)/(P19*AF12+(1-P21)*(1-AF12)),"")</f>
        <v>0.7579086873188503</v>
      </c>
      <c r="AH14" s="54">
        <f t="shared" si="4"/>
        <v>0.19999999999999998</v>
      </c>
      <c r="AI14" s="50">
        <f ca="1"/>
        <v>0</v>
      </c>
      <c r="AJ14" s="50">
        <f ca="1"/>
        <v>0</v>
      </c>
      <c r="AK14" s="50">
        <f ca="1"/>
        <v>0</v>
      </c>
      <c r="AL14" s="50">
        <f ca="1"/>
        <v>0</v>
      </c>
      <c r="AM14" s="78">
        <f t="shared" ca="1" si="0"/>
        <v>0</v>
      </c>
      <c r="AN14" s="78">
        <f t="shared" ca="1" si="1"/>
        <v>0</v>
      </c>
      <c r="AO14" s="78">
        <f t="shared" ca="1" si="2"/>
        <v>0</v>
      </c>
      <c r="AP14" s="78">
        <f t="shared" ca="1" si="3"/>
        <v>0</v>
      </c>
    </row>
    <row r="15" spans="2:52" ht="13" x14ac:dyDescent="0.3">
      <c r="B15" s="218" t="str">
        <f>IF(C14&lt;&gt;"",IF(G14&lt;&gt;"",CONCATENATE("Data (Enter ",C14,"-",G14," Data in Blue Cells)"),"Data (Enter Crude Data in Blue Cells)"),"Data (Enter Crude Data in Blue Cells)")</f>
        <v>Data (Enter Smoke-BC Data in Blue Cells)</v>
      </c>
      <c r="C15" s="218"/>
      <c r="D15" s="218"/>
      <c r="E15" s="218"/>
      <c r="F15" s="218"/>
      <c r="G15" s="218"/>
      <c r="H15" s="45"/>
      <c r="I15" s="276" t="s">
        <v>108</v>
      </c>
      <c r="J15" s="276"/>
      <c r="K15" s="276"/>
      <c r="L15" s="276"/>
      <c r="M15" s="276"/>
      <c r="N15" s="276"/>
      <c r="O15" s="276"/>
      <c r="P15" s="276"/>
      <c r="S15" s="86" t="s">
        <v>105</v>
      </c>
      <c r="T15" s="2"/>
      <c r="V15" s="121">
        <f>C20/G20</f>
        <v>0.13456889605157132</v>
      </c>
      <c r="W15" s="86" t="s">
        <v>107</v>
      </c>
      <c r="X15" s="2"/>
      <c r="Z15" s="121">
        <f>1-V15</f>
        <v>0.8654311039484287</v>
      </c>
      <c r="AE15" s="50" t="s">
        <v>184</v>
      </c>
      <c r="AF15" s="50">
        <f ca="1">IFERROR((P20*(1-AF11))/((1-P18 )*AF11+P20* (1-AF11)),"")</f>
        <v>0.98617298257251151</v>
      </c>
      <c r="AH15" s="54">
        <f t="shared" si="4"/>
        <v>0.21999999999999997</v>
      </c>
      <c r="AI15" s="50">
        <f ca="1"/>
        <v>0</v>
      </c>
      <c r="AJ15" s="50">
        <f ca="1"/>
        <v>0</v>
      </c>
      <c r="AK15" s="50">
        <f ca="1"/>
        <v>0</v>
      </c>
      <c r="AL15" s="50">
        <f ca="1"/>
        <v>0</v>
      </c>
      <c r="AM15" s="78">
        <f t="shared" ca="1" si="0"/>
        <v>0</v>
      </c>
      <c r="AN15" s="78">
        <f t="shared" ca="1" si="1"/>
        <v>0</v>
      </c>
      <c r="AO15" s="78">
        <f t="shared" ca="1" si="2"/>
        <v>0</v>
      </c>
      <c r="AP15" s="78">
        <f t="shared" ca="1" si="3"/>
        <v>0</v>
      </c>
    </row>
    <row r="16" spans="2:52" ht="13.5" thickBot="1" x14ac:dyDescent="0.35">
      <c r="B16" s="4"/>
      <c r="C16" s="219" t="s">
        <v>34</v>
      </c>
      <c r="D16" s="219" t="s">
        <v>1</v>
      </c>
      <c r="E16" s="219"/>
      <c r="F16" s="219"/>
      <c r="G16" s="39"/>
      <c r="I16" s="4"/>
      <c r="J16" s="219" t="s">
        <v>162</v>
      </c>
      <c r="K16" s="219"/>
      <c r="L16" s="219"/>
      <c r="M16" s="219"/>
      <c r="N16" s="40"/>
      <c r="P16" s="20">
        <f ca="1">IF(J18&gt;0,IF(J20&gt;0,IF(L18&gt;0,IF(L20&gt;0,0,1),1),1),1)</f>
        <v>0</v>
      </c>
      <c r="S16" s="9" t="s">
        <v>141</v>
      </c>
      <c r="T16" s="66"/>
      <c r="U16" s="66"/>
      <c r="V16" s="66"/>
      <c r="W16" s="66"/>
      <c r="X16" s="66"/>
      <c r="Y16" s="66"/>
      <c r="Z16" s="66"/>
      <c r="AE16" s="50" t="s">
        <v>185</v>
      </c>
      <c r="AF16" s="50">
        <f ca="1">IFERROR((P21*(1-AF12))/((1-P19 )*AF12+P21* (1-AF12)),"")</f>
        <v>0.98366924049868287</v>
      </c>
      <c r="AH16" s="54">
        <f t="shared" si="4"/>
        <v>0.23999999999999996</v>
      </c>
      <c r="AI16" s="50">
        <f ca="1"/>
        <v>0</v>
      </c>
      <c r="AJ16" s="50">
        <f ca="1"/>
        <v>0</v>
      </c>
      <c r="AK16" s="50">
        <f ca="1"/>
        <v>0</v>
      </c>
      <c r="AL16" s="50">
        <f ca="1"/>
        <v>0</v>
      </c>
      <c r="AM16" s="78">
        <f t="shared" ca="1" si="0"/>
        <v>0</v>
      </c>
      <c r="AN16" s="78">
        <f t="shared" ca="1" si="1"/>
        <v>0</v>
      </c>
      <c r="AO16" s="78">
        <f t="shared" ca="1" si="2"/>
        <v>0</v>
      </c>
      <c r="AP16" s="78">
        <f t="shared" ca="1" si="3"/>
        <v>0</v>
      </c>
    </row>
    <row r="17" spans="2:42" ht="13.5" thickBot="1" x14ac:dyDescent="0.35">
      <c r="B17" s="6"/>
      <c r="C17" s="220" t="str">
        <f>IF(C14&lt;&gt;"",CONCATENATE(C14," +"),"E+")</f>
        <v>Smoke +</v>
      </c>
      <c r="D17" s="220" t="s">
        <v>0</v>
      </c>
      <c r="E17" s="220" t="str">
        <f>IF(C14&lt;&gt;"",CONCATENATE(C14," -"),"E-")</f>
        <v>Smoke -</v>
      </c>
      <c r="F17" s="220" t="s">
        <v>0</v>
      </c>
      <c r="G17" s="29" t="s">
        <v>1</v>
      </c>
      <c r="I17" s="6"/>
      <c r="J17" s="220" t="str">
        <f>C17</f>
        <v>Smoke +</v>
      </c>
      <c r="K17" s="220" t="s">
        <v>0</v>
      </c>
      <c r="L17" s="220" t="str">
        <f>E17</f>
        <v>Smoke -</v>
      </c>
      <c r="M17" s="220" t="s">
        <v>0</v>
      </c>
      <c r="N17" s="41" t="str">
        <f>G17</f>
        <v>Total</v>
      </c>
      <c r="O17" s="288" t="s">
        <v>64</v>
      </c>
      <c r="P17" s="288"/>
      <c r="S17" s="86" t="s">
        <v>131</v>
      </c>
      <c r="U17" s="131"/>
      <c r="V17" s="140">
        <f ca="1">IF(ISBLANK(W23)=TRUE,"",CORREL(W22:W999999,X22:X999999))</f>
        <v>1</v>
      </c>
      <c r="W17" s="126" t="s">
        <v>132</v>
      </c>
      <c r="Y17" s="136"/>
      <c r="Z17" s="140">
        <f ca="1">IF(ISBLANK(Y23)=TRUE,"",CORREL(Y22:Y999999,Z22:Z999999))</f>
        <v>0.99999999999999989</v>
      </c>
      <c r="AE17" s="167"/>
      <c r="AF17" s="50"/>
      <c r="AH17" s="54">
        <f t="shared" si="4"/>
        <v>0.25999999999999995</v>
      </c>
      <c r="AI17" s="50">
        <f ca="1"/>
        <v>0</v>
      </c>
      <c r="AJ17" s="50">
        <f ca="1"/>
        <v>0</v>
      </c>
      <c r="AK17" s="50">
        <f ca="1"/>
        <v>0</v>
      </c>
      <c r="AL17" s="50">
        <f ca="1"/>
        <v>0</v>
      </c>
      <c r="AM17" s="78">
        <f t="shared" ca="1" si="0"/>
        <v>0</v>
      </c>
      <c r="AN17" s="78">
        <f t="shared" ca="1" si="1"/>
        <v>0</v>
      </c>
      <c r="AO17" s="78">
        <f t="shared" ca="1" si="2"/>
        <v>0</v>
      </c>
      <c r="AP17" s="78">
        <f t="shared" ca="1" si="3"/>
        <v>0</v>
      </c>
    </row>
    <row r="18" spans="2:42" ht="14.25" customHeight="1" x14ac:dyDescent="0.3">
      <c r="B18" s="224" t="str">
        <f>IF(G14&lt;&gt;"",CONCATENATE(G14," +"),"D+")</f>
        <v>BC +</v>
      </c>
      <c r="C18" s="230">
        <v>215</v>
      </c>
      <c r="D18" s="12" t="s">
        <v>15</v>
      </c>
      <c r="E18" s="232">
        <v>1449</v>
      </c>
      <c r="F18" s="12" t="s">
        <v>17</v>
      </c>
      <c r="G18" s="269">
        <f>SUM(C18:F19)</f>
        <v>1664</v>
      </c>
      <c r="I18" s="224" t="str">
        <f>B18</f>
        <v>BC +</v>
      </c>
      <c r="J18" s="274">
        <f ca="1">IF(AND(AF13&lt;&gt;"",AF15&lt;&gt;""),IF(AF13=0,0,IF(AF13=1,C18,_xlfn.BINOM.INV(C18,AF13,RAND())))+IF(AF15=0,E18,IF(AF15=1,0,_xlfn.BINOM.INV(E18,1-AF15,RAND()))),"")</f>
        <v>172</v>
      </c>
      <c r="K18" s="16" t="s">
        <v>118</v>
      </c>
      <c r="L18" s="274">
        <f ca="1">IF(J18&lt;&gt;"",N18-J18,"")</f>
        <v>1492</v>
      </c>
      <c r="M18" s="16" t="s">
        <v>120</v>
      </c>
      <c r="N18" s="268">
        <f>G18</f>
        <v>1664</v>
      </c>
      <c r="O18" s="1" t="s">
        <v>50</v>
      </c>
      <c r="P18" s="65">
        <f ca="1">AF3</f>
        <v>0.88174678741606693</v>
      </c>
      <c r="S18" s="207" t="s">
        <v>97</v>
      </c>
      <c r="T18" s="207"/>
      <c r="U18" s="207"/>
      <c r="V18" s="207"/>
      <c r="W18" s="207"/>
      <c r="X18" s="207"/>
      <c r="Y18" s="207"/>
      <c r="Z18" s="207"/>
      <c r="AE18" s="167" t="s">
        <v>118</v>
      </c>
      <c r="AF18" s="50">
        <f ca="1">IFERROR(((C18-(1-AF5)*G18) / (AF3-(1-AF5))),"")</f>
        <v>179.80839078474889</v>
      </c>
      <c r="AH18" s="54">
        <f t="shared" si="4"/>
        <v>0.27999999999999997</v>
      </c>
      <c r="AI18" s="50">
        <f ca="1"/>
        <v>0</v>
      </c>
      <c r="AJ18" s="50">
        <f ca="1"/>
        <v>0</v>
      </c>
      <c r="AK18" s="50">
        <f ca="1"/>
        <v>0</v>
      </c>
      <c r="AL18" s="50">
        <f ca="1"/>
        <v>0</v>
      </c>
      <c r="AM18" s="78">
        <f t="shared" ca="1" si="0"/>
        <v>0</v>
      </c>
      <c r="AN18" s="78">
        <f t="shared" ca="1" si="1"/>
        <v>0</v>
      </c>
      <c r="AO18" s="78">
        <f t="shared" ca="1" si="2"/>
        <v>0</v>
      </c>
      <c r="AP18" s="78">
        <f t="shared" ca="1" si="3"/>
        <v>0</v>
      </c>
    </row>
    <row r="19" spans="2:42" ht="12.75" customHeight="1" x14ac:dyDescent="0.3">
      <c r="B19" s="224"/>
      <c r="C19" s="231"/>
      <c r="D19" s="13"/>
      <c r="E19" s="231"/>
      <c r="F19" s="12"/>
      <c r="G19" s="272"/>
      <c r="I19" s="224"/>
      <c r="J19" s="275"/>
      <c r="K19" s="16"/>
      <c r="L19" s="275"/>
      <c r="M19" s="16"/>
      <c r="N19" s="269"/>
      <c r="O19" s="1" t="s">
        <v>49</v>
      </c>
      <c r="P19" s="65">
        <f ca="1">IF(E12=2,AF4,P18)</f>
        <v>0.88174678741606693</v>
      </c>
      <c r="AB19" s="200"/>
      <c r="AE19" s="167" t="s">
        <v>120</v>
      </c>
      <c r="AF19" s="50">
        <f ca="1">IFERROR(G18-((C18-(1-AF5)*G18) / (AF3-(1-AF5))),"")</f>
        <v>1484.191609215251</v>
      </c>
      <c r="AH19" s="54">
        <f t="shared" si="4"/>
        <v>0.3</v>
      </c>
      <c r="AI19" s="50">
        <f ca="1"/>
        <v>0</v>
      </c>
      <c r="AJ19" s="50">
        <f ca="1"/>
        <v>0</v>
      </c>
      <c r="AK19" s="50">
        <f ca="1"/>
        <v>0</v>
      </c>
      <c r="AL19" s="50">
        <f ca="1"/>
        <v>0</v>
      </c>
      <c r="AM19" s="78">
        <f t="shared" ca="1" si="0"/>
        <v>0</v>
      </c>
      <c r="AN19" s="78">
        <f t="shared" ca="1" si="1"/>
        <v>0</v>
      </c>
      <c r="AO19" s="78">
        <f t="shared" ca="1" si="2"/>
        <v>0</v>
      </c>
      <c r="AP19" s="78">
        <f t="shared" ca="1" si="3"/>
        <v>0</v>
      </c>
    </row>
    <row r="20" spans="2:42" ht="12.75" customHeight="1" x14ac:dyDescent="0.3">
      <c r="B20" s="224" t="str">
        <f>IF(G14&lt;&gt;"",CONCATENATE(G14," -"),"D-")</f>
        <v>BC -</v>
      </c>
      <c r="C20" s="225">
        <v>668</v>
      </c>
      <c r="D20" s="14" t="s">
        <v>16</v>
      </c>
      <c r="E20" s="225">
        <v>4296</v>
      </c>
      <c r="F20" s="14" t="s">
        <v>18</v>
      </c>
      <c r="G20" s="272">
        <f>SUM(C20:F21)</f>
        <v>4964</v>
      </c>
      <c r="I20" s="224" t="str">
        <f>B20</f>
        <v>BC -</v>
      </c>
      <c r="J20" s="270">
        <f ca="1">IF(AND(AF14&lt;&gt;"",AF16&lt;&gt;""),IF(AF14=1,C20,IF(AF14=0,0,_xlfn.BINOM.INV(C20,AF14,RAND())))+IF(AF16=1,0,IF(AF16=0,E20,_xlfn.BINOM.INV(E20,1-AF16,RAND()))),"")</f>
        <v>558</v>
      </c>
      <c r="K20" s="17" t="s">
        <v>119</v>
      </c>
      <c r="L20" s="270">
        <f ca="1">IF(J20&lt;&gt;"",N20-J20,"")</f>
        <v>4406</v>
      </c>
      <c r="M20" s="17" t="s">
        <v>72</v>
      </c>
      <c r="N20" s="272">
        <f>G20</f>
        <v>4964</v>
      </c>
      <c r="O20" s="1" t="s">
        <v>51</v>
      </c>
      <c r="P20" s="65">
        <f ca="1">AF5</f>
        <v>0.96196277574635758</v>
      </c>
      <c r="S20" s="229" t="s">
        <v>70</v>
      </c>
      <c r="T20" s="229"/>
      <c r="U20" s="229" t="s">
        <v>67</v>
      </c>
      <c r="V20" s="229"/>
      <c r="W20" s="229" t="s">
        <v>53</v>
      </c>
      <c r="X20" s="229"/>
      <c r="Y20" s="229"/>
      <c r="Z20" s="229"/>
      <c r="AB20" s="126"/>
      <c r="AC20" s="125"/>
      <c r="AD20" s="124"/>
      <c r="AE20" s="167" t="s">
        <v>119</v>
      </c>
      <c r="AF20" s="50">
        <f ca="1">IFERROR(((C20-(1-AF6)*G20) / (AF4-(1-AF6))),"")</f>
        <v>567.9480709082236</v>
      </c>
      <c r="AH20" s="54">
        <f t="shared" si="4"/>
        <v>0.32</v>
      </c>
      <c r="AI20" s="50">
        <f ca="1"/>
        <v>0</v>
      </c>
      <c r="AJ20" s="50">
        <f ca="1"/>
        <v>0</v>
      </c>
      <c r="AK20" s="50">
        <f ca="1"/>
        <v>0</v>
      </c>
      <c r="AL20" s="50">
        <f ca="1"/>
        <v>0</v>
      </c>
      <c r="AM20" s="78">
        <f t="shared" ca="1" si="0"/>
        <v>0</v>
      </c>
      <c r="AN20" s="78">
        <f t="shared" ca="1" si="1"/>
        <v>0</v>
      </c>
      <c r="AO20" s="78">
        <f t="shared" ca="1" si="2"/>
        <v>0</v>
      </c>
      <c r="AP20" s="78">
        <f t="shared" ca="1" si="3"/>
        <v>0</v>
      </c>
    </row>
    <row r="21" spans="2:42" ht="13.5" thickBot="1" x14ac:dyDescent="0.35">
      <c r="B21" s="224"/>
      <c r="C21" s="226"/>
      <c r="D21" s="15"/>
      <c r="E21" s="226"/>
      <c r="F21" s="15"/>
      <c r="G21" s="273"/>
      <c r="I21" s="224"/>
      <c r="J21" s="271"/>
      <c r="K21" s="18"/>
      <c r="L21" s="271"/>
      <c r="M21" s="18"/>
      <c r="N21" s="273"/>
      <c r="O21" s="1" t="s">
        <v>52</v>
      </c>
      <c r="P21" s="65">
        <f ca="1">IF(E12=2,AF6,P20)</f>
        <v>0.96196277574635758</v>
      </c>
      <c r="S21" s="58" t="s">
        <v>47</v>
      </c>
      <c r="T21" s="58" t="s">
        <v>48</v>
      </c>
      <c r="U21" s="58" t="str">
        <f>S21</f>
        <v>RR</v>
      </c>
      <c r="V21" s="58" t="str">
        <f>T21</f>
        <v>OR</v>
      </c>
      <c r="W21" s="58" t="s">
        <v>50</v>
      </c>
      <c r="X21" s="58" t="s">
        <v>49</v>
      </c>
      <c r="Y21" s="58" t="s">
        <v>51</v>
      </c>
      <c r="Z21" s="58" t="s">
        <v>52</v>
      </c>
      <c r="AB21" s="126"/>
      <c r="AC21" s="125"/>
      <c r="AD21" s="124"/>
      <c r="AE21" s="167" t="s">
        <v>72</v>
      </c>
      <c r="AF21" s="50">
        <f ca="1">IFERROR(G20-((C20-(1-AF6)*G20) / (AF4-(1-AF6))),"")</f>
        <v>4396.0519290917764</v>
      </c>
      <c r="AH21" s="54">
        <f t="shared" si="4"/>
        <v>0.34</v>
      </c>
      <c r="AI21" s="50">
        <f ca="1"/>
        <v>0</v>
      </c>
      <c r="AJ21" s="50">
        <f ca="1"/>
        <v>0</v>
      </c>
      <c r="AK21" s="50">
        <f ca="1"/>
        <v>0</v>
      </c>
      <c r="AL21" s="50">
        <f ca="1"/>
        <v>0</v>
      </c>
      <c r="AM21" s="78">
        <f t="shared" ca="1" si="0"/>
        <v>0</v>
      </c>
      <c r="AN21" s="78">
        <f t="shared" ca="1" si="1"/>
        <v>0</v>
      </c>
      <c r="AO21" s="78">
        <f t="shared" ca="1" si="2"/>
        <v>0</v>
      </c>
      <c r="AP21" s="78">
        <f t="shared" ca="1" si="3"/>
        <v>0</v>
      </c>
    </row>
    <row r="22" spans="2:42" ht="12.75" customHeight="1" x14ac:dyDescent="0.3">
      <c r="B22" s="224" t="s">
        <v>1</v>
      </c>
      <c r="C22" s="233">
        <f>SUM(C18:C21)</f>
        <v>883</v>
      </c>
      <c r="D22" s="16" t="s">
        <v>20</v>
      </c>
      <c r="E22" s="233">
        <f>SUM(E18:E21)</f>
        <v>5745</v>
      </c>
      <c r="F22" s="16" t="s">
        <v>19</v>
      </c>
      <c r="G22" s="7"/>
      <c r="I22" s="224" t="str">
        <f>B22</f>
        <v>Total</v>
      </c>
      <c r="J22" s="287">
        <f ca="1">IF(OR(J18="",J20=""),"",J18+J20)</f>
        <v>730</v>
      </c>
      <c r="K22" s="16" t="s">
        <v>123</v>
      </c>
      <c r="L22" s="287">
        <f ca="1">IF(OR(L18="",L20=""),"",L18+L20)</f>
        <v>5898</v>
      </c>
      <c r="M22" s="16" t="s">
        <v>124</v>
      </c>
      <c r="R22" s="199"/>
      <c r="S22" s="58">
        <f ca="1">IF(OR(J18="",J20="",L18="",L20="",AF23=0),"",AF23)</f>
        <v>0.95269770928666753</v>
      </c>
      <c r="T22" s="58">
        <f ca="1">IF(OR(J18="",J20="",L18="",L20="",AF24=0),"",AF24)</f>
        <v>0.93772213456555675</v>
      </c>
      <c r="U22" s="107">
        <f ca="1">IF(OR(J18="",J20="",L18="",L20="",V3=0),"",V6)</f>
        <v>0.91940974403828024</v>
      </c>
      <c r="V22" s="58">
        <f ca="1">IF(OR(J18="",J20="",L18="",L20="",Z3=0),"",Z6)</f>
        <v>0.88059969273737571</v>
      </c>
      <c r="W22" s="108">
        <f ca="1">P18</f>
        <v>0.88174678741606693</v>
      </c>
      <c r="X22" s="108">
        <f ca="1">P19</f>
        <v>0.88174678741606693</v>
      </c>
      <c r="Y22" s="108">
        <f ca="1">P20</f>
        <v>0.96196277574635758</v>
      </c>
      <c r="Z22" s="108">
        <f ca="1">P21</f>
        <v>0.96196277574635758</v>
      </c>
      <c r="AB22" s="126"/>
      <c r="AC22" s="125"/>
      <c r="AD22" s="124"/>
      <c r="AE22" s="198"/>
      <c r="AH22" s="54">
        <f t="shared" si="4"/>
        <v>0.36000000000000004</v>
      </c>
      <c r="AI22" s="50">
        <f ca="1"/>
        <v>0</v>
      </c>
      <c r="AJ22" s="50">
        <f ca="1"/>
        <v>0</v>
      </c>
      <c r="AK22" s="50">
        <f ca="1"/>
        <v>0</v>
      </c>
      <c r="AL22" s="50">
        <f ca="1"/>
        <v>0</v>
      </c>
      <c r="AM22" s="78">
        <f t="shared" ca="1" si="0"/>
        <v>0</v>
      </c>
      <c r="AN22" s="78">
        <f t="shared" ca="1" si="1"/>
        <v>0</v>
      </c>
      <c r="AO22" s="78">
        <f t="shared" ca="1" si="2"/>
        <v>0</v>
      </c>
      <c r="AP22" s="78">
        <f t="shared" ca="1" si="3"/>
        <v>0</v>
      </c>
    </row>
    <row r="23" spans="2:42" ht="13.5" customHeight="1" x14ac:dyDescent="0.3">
      <c r="B23" s="224"/>
      <c r="C23" s="234"/>
      <c r="D23" s="8"/>
      <c r="E23" s="234"/>
      <c r="F23" s="8"/>
      <c r="G23" s="3"/>
      <c r="I23" s="224"/>
      <c r="J23" s="275"/>
      <c r="K23" s="132"/>
      <c r="L23" s="275"/>
      <c r="M23" s="132"/>
      <c r="S23" s="50">
        <v>0.95090861174558861</v>
      </c>
      <c r="T23" s="50">
        <v>0.93539380326223631</v>
      </c>
      <c r="U23" s="50">
        <v>0.81439104387033145</v>
      </c>
      <c r="V23" s="50">
        <v>0.89269383002202074</v>
      </c>
      <c r="W23" s="50">
        <v>0.81180747891185057</v>
      </c>
      <c r="X23" s="50">
        <v>0.81180747891185057</v>
      </c>
      <c r="Y23" s="50">
        <v>0.95917518930815648</v>
      </c>
      <c r="Z23" s="50">
        <v>0.95917518930815648</v>
      </c>
      <c r="AB23" s="125"/>
      <c r="AC23" s="125"/>
      <c r="AD23" s="125"/>
      <c r="AE23" s="167" t="s">
        <v>47</v>
      </c>
      <c r="AF23" s="50">
        <f ca="1">IFERROR((AF18/(AF18+AF20))/(AF19/(AF19+AF21)),"")</f>
        <v>0.95269770928666753</v>
      </c>
      <c r="AH23" s="54">
        <f t="shared" si="4"/>
        <v>0.38000000000000006</v>
      </c>
      <c r="AI23" s="50">
        <f ca="1"/>
        <v>0</v>
      </c>
      <c r="AJ23" s="50">
        <f ca="1"/>
        <v>0</v>
      </c>
      <c r="AK23" s="50">
        <f ca="1"/>
        <v>0</v>
      </c>
      <c r="AL23" s="50">
        <f ca="1"/>
        <v>0</v>
      </c>
      <c r="AM23" s="78">
        <f t="shared" ca="1" si="0"/>
        <v>0</v>
      </c>
      <c r="AN23" s="78">
        <f t="shared" ca="1" si="1"/>
        <v>0</v>
      </c>
      <c r="AO23" s="78">
        <f t="shared" ca="1" si="2"/>
        <v>0</v>
      </c>
      <c r="AP23" s="78">
        <f t="shared" ca="1" si="3"/>
        <v>0</v>
      </c>
    </row>
    <row r="24" spans="2:42" ht="13.5" customHeight="1" x14ac:dyDescent="0.3">
      <c r="B24" s="44"/>
      <c r="C24" s="44"/>
      <c r="D24" s="5"/>
      <c r="E24" s="44"/>
      <c r="F24" s="5"/>
      <c r="G24" s="3"/>
      <c r="AB24" s="124"/>
      <c r="AC24" s="125"/>
      <c r="AD24" s="125"/>
      <c r="AE24" s="167" t="s">
        <v>48</v>
      </c>
      <c r="AF24" s="50">
        <f ca="1">IFERROR((AF18/AF20)/(AF19/AF21),"")</f>
        <v>0.93772213456555675</v>
      </c>
      <c r="AH24" s="54">
        <f t="shared" si="4"/>
        <v>0.40000000000000008</v>
      </c>
      <c r="AI24" s="50">
        <f ca="1"/>
        <v>0</v>
      </c>
      <c r="AJ24" s="50">
        <f ca="1"/>
        <v>0</v>
      </c>
      <c r="AK24" s="50">
        <f ca="1"/>
        <v>0</v>
      </c>
      <c r="AL24" s="50">
        <f ca="1"/>
        <v>0</v>
      </c>
      <c r="AM24" s="78">
        <f t="shared" ca="1" si="0"/>
        <v>0</v>
      </c>
      <c r="AN24" s="78">
        <f t="shared" ca="1" si="1"/>
        <v>0</v>
      </c>
      <c r="AO24" s="78">
        <f t="shared" ca="1" si="2"/>
        <v>0</v>
      </c>
      <c r="AP24" s="78">
        <f t="shared" ca="1" si="3"/>
        <v>0</v>
      </c>
    </row>
    <row r="25" spans="2:42" ht="13.5" customHeight="1" x14ac:dyDescent="0.3">
      <c r="B25" s="37" t="s">
        <v>35</v>
      </c>
      <c r="C25" s="38"/>
      <c r="D25" s="38"/>
      <c r="E25" s="37" t="s">
        <v>4</v>
      </c>
      <c r="F25" s="37"/>
      <c r="G25" s="38"/>
      <c r="I25" s="35" t="s">
        <v>109</v>
      </c>
      <c r="J25" s="36"/>
      <c r="K25" s="36"/>
      <c r="L25" s="36"/>
      <c r="M25" s="36"/>
      <c r="N25" s="35" t="s">
        <v>36</v>
      </c>
      <c r="O25" s="286"/>
      <c r="P25" s="286"/>
      <c r="AB25" s="125"/>
      <c r="AC25" s="125"/>
      <c r="AD25" s="125"/>
      <c r="AH25" s="54">
        <f t="shared" si="4"/>
        <v>0.4200000000000001</v>
      </c>
      <c r="AI25" s="50">
        <f ca="1"/>
        <v>0</v>
      </c>
      <c r="AJ25" s="50">
        <f ca="1"/>
        <v>0</v>
      </c>
      <c r="AK25" s="50">
        <f ca="1"/>
        <v>0</v>
      </c>
      <c r="AL25" s="50">
        <f ca="1"/>
        <v>0</v>
      </c>
      <c r="AM25" s="78">
        <f t="shared" ca="1" si="0"/>
        <v>0</v>
      </c>
      <c r="AN25" s="78">
        <f t="shared" ca="1" si="1"/>
        <v>0</v>
      </c>
      <c r="AO25" s="78">
        <f t="shared" ca="1" si="2"/>
        <v>0</v>
      </c>
      <c r="AP25" s="78">
        <f t="shared" ca="1" si="3"/>
        <v>0</v>
      </c>
    </row>
    <row r="26" spans="2:42" ht="13.5" customHeight="1" x14ac:dyDescent="0.3">
      <c r="B26" s="1" t="str">
        <f>IF(C14&lt;&gt;"",IF(G14&lt;&gt;"",CONCATENATE("RR (",C14,"-",G14,")"),"RR (ED)"),"RR (ED)")</f>
        <v>RR (Smoke-BC)</v>
      </c>
      <c r="E26" s="3" t="str">
        <f>CONCATENATE(ROUND((C18/C22)/(E18/E22),2)," (",ROUND(EXP(LN((C18/C22)/(E18/E22))-1.96*V4),2)," - ",ROUND(EXP(LN((C18/C22)/(E18/E22))+1.96*V4),2),")")</f>
        <v>0.97 (0.85 - 1.09)</v>
      </c>
      <c r="F26" s="3"/>
      <c r="G26" s="3"/>
      <c r="I26" s="1" t="str">
        <f>IF(C14&lt;&gt;"",IF(G14&lt;&gt;"",CONCATENATE("RR (",C14,"-",G14,")"),"RR (ED)"),"RR (ED)")</f>
        <v>RR (Smoke-BC)</v>
      </c>
      <c r="K26" s="3"/>
      <c r="M26" s="31"/>
      <c r="N26" s="133" t="str">
        <f ca="1">IF(OR(J18="",J20="",L18="",L20=""),"",CONCATENATE(ROUND((J18/J22)/(L18/L22),2)))</f>
        <v>0.93</v>
      </c>
      <c r="S26" s="50">
        <v>0.94763217123837651</v>
      </c>
      <c r="T26" s="50">
        <v>0.93114618027155216</v>
      </c>
      <c r="U26" s="50">
        <v>1.0101835314055476</v>
      </c>
      <c r="V26" s="50">
        <v>0.99050089717197098</v>
      </c>
      <c r="W26" s="50">
        <v>0.75940767620722316</v>
      </c>
      <c r="X26" s="50">
        <v>0.75940767620722316</v>
      </c>
      <c r="Y26" s="50">
        <v>0.95353328855453079</v>
      </c>
      <c r="Z26" s="50">
        <v>0.95353328855453079</v>
      </c>
      <c r="AB26" s="125"/>
      <c r="AC26" s="124"/>
      <c r="AD26" s="124"/>
      <c r="AE26" s="123"/>
      <c r="AH26" s="54">
        <f t="shared" si="4"/>
        <v>0.44000000000000011</v>
      </c>
      <c r="AI26" s="50">
        <f ca="1"/>
        <v>0</v>
      </c>
      <c r="AJ26" s="50">
        <f ca="1"/>
        <v>0</v>
      </c>
      <c r="AK26" s="50">
        <f ca="1"/>
        <v>0</v>
      </c>
      <c r="AL26" s="50">
        <f ca="1"/>
        <v>0</v>
      </c>
      <c r="AM26" s="78">
        <f t="shared" ca="1" si="0"/>
        <v>0</v>
      </c>
      <c r="AN26" s="78">
        <f t="shared" ca="1" si="1"/>
        <v>0</v>
      </c>
      <c r="AO26" s="78">
        <f t="shared" ca="1" si="2"/>
        <v>0</v>
      </c>
      <c r="AP26" s="78">
        <f t="shared" ca="1" si="3"/>
        <v>0</v>
      </c>
    </row>
    <row r="27" spans="2:42" ht="13.5" customHeight="1" x14ac:dyDescent="0.3">
      <c r="B27" s="9" t="str">
        <f>IF(C14&lt;&gt;"",IF(G14&lt;&gt;"",CONCATENATE("OR (",C14,"-",G14,")"),"OR (ED)"),"OR (ED)")</f>
        <v>OR (Smoke-BC)</v>
      </c>
      <c r="C27" s="10"/>
      <c r="D27" s="10"/>
      <c r="E27" s="34" t="str">
        <f>CONCATENATE(ROUND((C18/C20)/(E18/E20),2)," (",ROUND(EXP(LN((C18/C20)/(E18/E20))-1.96*Z4),2)," - ",ROUND(EXP(LN((C18/C20)/(E18/E20))+1.96*Z4),2),")")</f>
        <v>0.95 (0.81 - 1.13)</v>
      </c>
      <c r="F27" s="34"/>
      <c r="G27" s="34"/>
      <c r="I27" s="9" t="str">
        <f>IF(C14&lt;&gt;"",IF(G14&lt;&gt;"",CONCATENATE("OR (",C14,"-",G14,")"),"OR (ED)"),"OR (ED)")</f>
        <v>OR (Smoke-BC)</v>
      </c>
      <c r="J27" s="10"/>
      <c r="K27" s="34"/>
      <c r="L27" s="10"/>
      <c r="M27" s="30"/>
      <c r="N27" s="134" t="str">
        <f ca="1">IF(OR(J18="",J20="",L18="",L20=""),"",CONCATENATE(ROUND((J18/J20)/(L18/L20),2)))</f>
        <v>0.91</v>
      </c>
      <c r="O27" s="10"/>
      <c r="P27" s="10"/>
      <c r="S27" s="50">
        <v>0.91911305978327407</v>
      </c>
      <c r="T27" s="50">
        <v>0.8946219613073283</v>
      </c>
      <c r="U27" s="50">
        <v>1.0083311632183678</v>
      </c>
      <c r="V27" s="50">
        <v>0.81668351208057433</v>
      </c>
      <c r="W27" s="50">
        <v>0.69051449118432484</v>
      </c>
      <c r="X27" s="50">
        <v>0.69051449118432484</v>
      </c>
      <c r="Y27" s="50">
        <v>0.92085440352022663</v>
      </c>
      <c r="Z27" s="50">
        <v>0.92085440352022663</v>
      </c>
      <c r="AB27" s="125"/>
      <c r="AC27" s="124"/>
      <c r="AD27" s="124"/>
      <c r="AE27" s="123"/>
      <c r="AH27" s="54">
        <f t="shared" si="4"/>
        <v>0.46000000000000013</v>
      </c>
      <c r="AI27" s="50">
        <f ca="1"/>
        <v>0</v>
      </c>
      <c r="AJ27" s="50">
        <f ca="1"/>
        <v>0</v>
      </c>
      <c r="AK27" s="50">
        <f ca="1"/>
        <v>0</v>
      </c>
      <c r="AL27" s="50">
        <f ca="1"/>
        <v>0</v>
      </c>
      <c r="AM27" s="78">
        <f t="shared" ca="1" si="0"/>
        <v>0</v>
      </c>
      <c r="AN27" s="78">
        <f t="shared" ca="1" si="1"/>
        <v>0</v>
      </c>
      <c r="AO27" s="78">
        <f t="shared" ca="1" si="2"/>
        <v>0</v>
      </c>
      <c r="AP27" s="78">
        <f t="shared" ca="1" si="3"/>
        <v>0</v>
      </c>
    </row>
    <row r="28" spans="2:42" ht="13.5" customHeight="1" x14ac:dyDescent="0.3">
      <c r="B28" s="1"/>
      <c r="E28" s="3"/>
      <c r="F28" s="3"/>
      <c r="G28" s="3"/>
      <c r="M28" s="62">
        <f ca="1">P18</f>
        <v>0.88174678741606693</v>
      </c>
      <c r="N28" s="63">
        <f ca="1">P19</f>
        <v>0.88174678741606693</v>
      </c>
      <c r="O28" s="68">
        <f ca="1">P20</f>
        <v>0.96196277574635758</v>
      </c>
      <c r="P28" s="64">
        <f ca="1">P21</f>
        <v>0.96196277574635758</v>
      </c>
      <c r="AB28" s="125"/>
      <c r="AC28" s="124"/>
      <c r="AD28" s="124"/>
      <c r="AE28" s="123"/>
      <c r="AH28" s="54">
        <f t="shared" si="4"/>
        <v>0.48000000000000015</v>
      </c>
      <c r="AI28" s="50">
        <f ca="1"/>
        <v>0</v>
      </c>
      <c r="AJ28" s="50">
        <f ca="1"/>
        <v>0</v>
      </c>
      <c r="AK28" s="50">
        <f ca="1"/>
        <v>0</v>
      </c>
      <c r="AL28" s="50">
        <f ca="1"/>
        <v>0</v>
      </c>
      <c r="AM28" s="78">
        <f t="shared" ca="1" si="0"/>
        <v>0</v>
      </c>
      <c r="AN28" s="78">
        <f t="shared" ca="1" si="1"/>
        <v>0</v>
      </c>
      <c r="AO28" s="78">
        <f t="shared" ca="1" si="2"/>
        <v>0</v>
      </c>
      <c r="AP28" s="78">
        <f t="shared" ca="1" si="3"/>
        <v>0</v>
      </c>
    </row>
    <row r="29" spans="2:42" ht="13.5" customHeight="1" x14ac:dyDescent="0.3">
      <c r="B29" s="241" t="str">
        <f>CONCATENATE("RR Simulation Results (N=",COUNT(U23:U50013),")")</f>
        <v>RR Simulation Results (N=34)</v>
      </c>
      <c r="C29" s="241"/>
      <c r="D29" s="241"/>
      <c r="E29" s="241"/>
      <c r="F29" s="241"/>
      <c r="G29" s="241"/>
      <c r="I29" s="241" t="str">
        <f>CONCATENATE("OR Simulation Results (N=",COUNT(V23:V50013),")")</f>
        <v>OR Simulation Results (N=34)</v>
      </c>
      <c r="J29" s="241"/>
      <c r="K29" s="241"/>
      <c r="L29" s="241"/>
      <c r="M29" s="241"/>
      <c r="N29" s="241"/>
      <c r="O29" s="1"/>
      <c r="P29" s="242" t="s">
        <v>177</v>
      </c>
      <c r="AB29" s="126"/>
      <c r="AC29" s="124"/>
      <c r="AD29" s="124"/>
      <c r="AE29" s="123"/>
      <c r="AH29" s="54">
        <f t="shared" si="4"/>
        <v>0.50000000000000011</v>
      </c>
      <c r="AI29" s="50">
        <f ca="1"/>
        <v>0</v>
      </c>
      <c r="AJ29" s="50">
        <f ca="1"/>
        <v>0</v>
      </c>
      <c r="AK29" s="50">
        <f ca="1"/>
        <v>0</v>
      </c>
      <c r="AL29" s="50">
        <f ca="1"/>
        <v>0</v>
      </c>
      <c r="AM29" s="78">
        <f t="shared" ca="1" si="0"/>
        <v>0</v>
      </c>
      <c r="AN29" s="78">
        <f t="shared" ca="1" si="1"/>
        <v>0</v>
      </c>
      <c r="AO29" s="78">
        <f t="shared" ca="1" si="2"/>
        <v>0</v>
      </c>
      <c r="AP29" s="78">
        <f t="shared" ca="1" si="3"/>
        <v>0</v>
      </c>
    </row>
    <row r="30" spans="2:42" ht="13.5" customHeight="1" x14ac:dyDescent="0.3">
      <c r="B30" s="35" t="s">
        <v>68</v>
      </c>
      <c r="C30" s="241" t="s">
        <v>69</v>
      </c>
      <c r="D30" s="241"/>
      <c r="E30" s="241"/>
      <c r="F30" s="241"/>
      <c r="G30" s="241"/>
      <c r="I30" s="35" t="s">
        <v>68</v>
      </c>
      <c r="J30" s="241" t="s">
        <v>69</v>
      </c>
      <c r="K30" s="241"/>
      <c r="L30" s="241"/>
      <c r="M30" s="241"/>
      <c r="N30" s="241"/>
      <c r="P30" s="243"/>
      <c r="S30" s="50">
        <v>0.94938947916804772</v>
      </c>
      <c r="T30" s="50">
        <v>0.93339041731624994</v>
      </c>
      <c r="U30" s="50">
        <v>0.92559912225556995</v>
      </c>
      <c r="V30" s="50">
        <v>0.87008603537888296</v>
      </c>
      <c r="W30" s="50">
        <v>0.65300466319745143</v>
      </c>
      <c r="X30" s="50">
        <v>0.65300466319745143</v>
      </c>
      <c r="Y30" s="50">
        <v>0.95957758997014242</v>
      </c>
      <c r="Z30" s="50">
        <v>0.95957758997014242</v>
      </c>
      <c r="AB30" s="126"/>
      <c r="AC30" s="124"/>
      <c r="AD30" s="125"/>
      <c r="AH30" s="54">
        <f t="shared" si="4"/>
        <v>0.52000000000000013</v>
      </c>
      <c r="AI30" s="50">
        <f ca="1"/>
        <v>0</v>
      </c>
      <c r="AJ30" s="50">
        <f ca="1"/>
        <v>0</v>
      </c>
      <c r="AK30" s="50">
        <f ca="1"/>
        <v>0</v>
      </c>
      <c r="AL30" s="50">
        <f ca="1"/>
        <v>0</v>
      </c>
      <c r="AM30" s="78">
        <f t="shared" ca="1" si="0"/>
        <v>0</v>
      </c>
      <c r="AN30" s="78">
        <f t="shared" ca="1" si="1"/>
        <v>0</v>
      </c>
      <c r="AO30" s="78">
        <f t="shared" ca="1" si="2"/>
        <v>0</v>
      </c>
      <c r="AP30" s="78">
        <f t="shared" ca="1" si="3"/>
        <v>0</v>
      </c>
    </row>
    <row r="31" spans="2:42" ht="13.5" customHeight="1" x14ac:dyDescent="0.3">
      <c r="B31" s="1" t="s">
        <v>65</v>
      </c>
      <c r="C31" s="278" t="str">
        <f>E26</f>
        <v>0.97 (0.85 - 1.09)</v>
      </c>
      <c r="D31" s="279"/>
      <c r="E31" s="279"/>
      <c r="F31" s="279"/>
      <c r="G31" s="279"/>
      <c r="I31" s="1" t="s">
        <v>65</v>
      </c>
      <c r="J31" s="43"/>
      <c r="K31" s="278" t="str">
        <f>E27</f>
        <v>0.95 (0.81 - 1.13)</v>
      </c>
      <c r="L31" s="279"/>
      <c r="M31" s="279"/>
      <c r="N31" s="279"/>
      <c r="P31" s="283">
        <v>15</v>
      </c>
      <c r="S31" s="50">
        <v>0.94343221748436845</v>
      </c>
      <c r="T31" s="50">
        <v>0.92573383397166042</v>
      </c>
      <c r="U31" s="50">
        <v>0.96437870483487742</v>
      </c>
      <c r="V31" s="50">
        <v>0.78615355886833194</v>
      </c>
      <c r="W31" s="50">
        <v>0.78663283719096233</v>
      </c>
      <c r="X31" s="50">
        <v>0.78663283719096233</v>
      </c>
      <c r="Y31" s="50">
        <v>0.9458794584316188</v>
      </c>
      <c r="Z31" s="50">
        <v>0.9458794584316188</v>
      </c>
      <c r="AB31" s="126"/>
      <c r="AC31" s="124"/>
      <c r="AD31" s="125"/>
      <c r="AH31" s="54">
        <f>AH30+0.02</f>
        <v>0.54000000000000015</v>
      </c>
      <c r="AI31" s="50">
        <f ca="1"/>
        <v>0</v>
      </c>
      <c r="AJ31" s="50">
        <f ca="1"/>
        <v>0</v>
      </c>
      <c r="AK31" s="50">
        <f ca="1"/>
        <v>0</v>
      </c>
      <c r="AL31" s="50">
        <f ca="1"/>
        <v>0</v>
      </c>
      <c r="AM31" s="78">
        <f t="shared" ca="1" si="0"/>
        <v>0</v>
      </c>
      <c r="AN31" s="78">
        <f t="shared" ca="1" si="1"/>
        <v>0</v>
      </c>
      <c r="AO31" s="78">
        <f t="shared" ca="1" si="2"/>
        <v>0</v>
      </c>
      <c r="AP31" s="78">
        <f t="shared" ca="1" si="3"/>
        <v>0</v>
      </c>
    </row>
    <row r="32" spans="2:42" ht="13.5" customHeight="1" x14ac:dyDescent="0.3">
      <c r="B32" s="1" t="s">
        <v>66</v>
      </c>
      <c r="C32" s="267" t="str">
        <f>IF(COUNTA(S23:S400000)&gt;0,CONCATENATE(ROUND(PERCENTILE(S23:S50014,0.5),2)," (",ROUND(PERCENTILE(S23:S50014,0.025),2)," - ",ROUND(PERCENTILE(S23:S50014,0.975),2),")"),"")</f>
        <v>0.93 (0.6 - 0.96)</v>
      </c>
      <c r="D32" s="267"/>
      <c r="E32" s="267"/>
      <c r="F32" s="267"/>
      <c r="G32" s="267"/>
      <c r="I32" s="1" t="s">
        <v>66</v>
      </c>
      <c r="J32" s="43"/>
      <c r="K32" s="267" t="str">
        <f>IF(COUNTA(T23:T400000)&gt;0,CONCATENATE(ROUND(PERCENTILE(T23:T50014,0.5),2)," (",ROUND(PERCENTILE(T23:T50014,0.025),2)," - ",ROUND(PERCENTILE(T23:T50014,0.975),2),")"),"")</f>
        <v>0.9 (0.55 - 0.94)</v>
      </c>
      <c r="L32" s="267"/>
      <c r="M32" s="267"/>
      <c r="N32" s="267"/>
      <c r="P32" s="284"/>
      <c r="S32" s="50">
        <v>0.93711461108123528</v>
      </c>
      <c r="T32" s="50">
        <v>0.917556171813801</v>
      </c>
      <c r="U32" s="50">
        <v>0.90503188810396618</v>
      </c>
      <c r="V32" s="50">
        <v>1.0398780396548646</v>
      </c>
      <c r="W32" s="50">
        <v>0.61401403118833797</v>
      </c>
      <c r="X32" s="50">
        <v>0.61401403118833797</v>
      </c>
      <c r="Y32" s="50">
        <v>0.93971806516926737</v>
      </c>
      <c r="Z32" s="50">
        <v>0.93971806516926737</v>
      </c>
      <c r="AB32" s="125"/>
      <c r="AC32" s="125"/>
      <c r="AD32" s="125"/>
      <c r="AH32" s="54">
        <f t="shared" si="4"/>
        <v>0.56000000000000016</v>
      </c>
      <c r="AI32" s="50">
        <f ca="1"/>
        <v>0</v>
      </c>
      <c r="AJ32" s="50">
        <f ca="1"/>
        <v>0</v>
      </c>
      <c r="AK32" s="50">
        <f ca="1"/>
        <v>0</v>
      </c>
      <c r="AL32" s="50">
        <f ca="1"/>
        <v>0</v>
      </c>
      <c r="AM32" s="78">
        <f t="shared" ca="1" si="0"/>
        <v>0</v>
      </c>
      <c r="AN32" s="78">
        <f t="shared" ca="1" si="1"/>
        <v>0</v>
      </c>
      <c r="AO32" s="78">
        <f t="shared" ca="1" si="2"/>
        <v>0</v>
      </c>
      <c r="AP32" s="78">
        <f t="shared" ca="1" si="3"/>
        <v>0</v>
      </c>
    </row>
    <row r="33" spans="2:42" ht="13" x14ac:dyDescent="0.3">
      <c r="B33" s="9" t="s">
        <v>67</v>
      </c>
      <c r="C33" s="282" t="str">
        <f>IF(COUNTA(U23:U400000)&gt;0,CONCATENATE(ROUND(PERCENTILE(U23:U50014,0.5),2)," (",ROUND(PERCENTILE(U23:U50014,0.025),2)," - ",ROUND(PERCENTILE(U23:U50014,0.975),2),")"),"")</f>
        <v>0.88 (0.65 - 1.05)</v>
      </c>
      <c r="D33" s="282"/>
      <c r="E33" s="282"/>
      <c r="F33" s="282"/>
      <c r="G33" s="282"/>
      <c r="I33" s="9" t="s">
        <v>67</v>
      </c>
      <c r="J33" s="59"/>
      <c r="K33" s="282" t="str">
        <f>IF(COUNTA(V23:V400000)&gt;0,CONCATENATE(ROUND(PERCENTILE(V23:V50014,0.5),2)," (",ROUND(PERCENTILE(V23:V50014,0.025),2)," - ",ROUND(PERCENTILE(V23:V50014,0.975),2),")"),"")</f>
        <v>0.88 (0.61 - 1.29)</v>
      </c>
      <c r="L33" s="282"/>
      <c r="M33" s="282"/>
      <c r="N33" s="282"/>
      <c r="O33" s="110"/>
      <c r="P33" s="285"/>
      <c r="S33" s="50">
        <v>0.89085736529256188</v>
      </c>
      <c r="T33" s="50">
        <v>0.859188956288651</v>
      </c>
      <c r="U33" s="50">
        <v>0.775103691512943</v>
      </c>
      <c r="V33" s="50">
        <v>0.69780662066973254</v>
      </c>
      <c r="W33" s="50">
        <v>0.85475421239567262</v>
      </c>
      <c r="X33" s="50">
        <v>0.85475421239567262</v>
      </c>
      <c r="Y33" s="50">
        <v>0.9053240347280449</v>
      </c>
      <c r="Z33" s="50">
        <v>0.9053240347280449</v>
      </c>
      <c r="AB33" s="124"/>
      <c r="AC33" s="125"/>
      <c r="AD33" s="125"/>
      <c r="AH33" s="54">
        <f t="shared" si="4"/>
        <v>0.58000000000000018</v>
      </c>
      <c r="AI33" s="50">
        <f ca="1"/>
        <v>1</v>
      </c>
      <c r="AJ33" s="50">
        <f ca="1"/>
        <v>1</v>
      </c>
      <c r="AK33" s="50">
        <f ca="1"/>
        <v>0</v>
      </c>
      <c r="AL33" s="50">
        <f ca="1"/>
        <v>0</v>
      </c>
      <c r="AM33" s="78">
        <f t="shared" ca="1" si="0"/>
        <v>2.7777777777777776E-2</v>
      </c>
      <c r="AN33" s="78">
        <f t="shared" ca="1" si="1"/>
        <v>2.7777777777777776E-2</v>
      </c>
      <c r="AO33" s="78">
        <f t="shared" ca="1" si="2"/>
        <v>0</v>
      </c>
      <c r="AP33" s="78">
        <f t="shared" ca="1" si="3"/>
        <v>0</v>
      </c>
    </row>
    <row r="34" spans="2:42" ht="5.25" customHeight="1" x14ac:dyDescent="0.3">
      <c r="I34" s="32">
        <f ca="1">IF(J18&lt;1,1,0)</f>
        <v>0</v>
      </c>
      <c r="J34" s="32">
        <f ca="1">IF(L18&lt;1,1,0)</f>
        <v>0</v>
      </c>
      <c r="K34" s="32">
        <f ca="1">IF(J20&lt;1,1,0)</f>
        <v>0</v>
      </c>
      <c r="L34" s="32">
        <f ca="1">IF(L20&lt;1,1,0)</f>
        <v>0</v>
      </c>
      <c r="M34" s="32">
        <f ca="1">SUM(I34:L34)</f>
        <v>0</v>
      </c>
      <c r="N34" s="31"/>
      <c r="AB34" s="125"/>
      <c r="AC34" s="125"/>
      <c r="AD34" s="125"/>
      <c r="AH34" s="54">
        <f t="shared" si="4"/>
        <v>0.6000000000000002</v>
      </c>
      <c r="AI34" s="50">
        <f ca="1"/>
        <v>3</v>
      </c>
      <c r="AJ34" s="50">
        <f ca="1"/>
        <v>3</v>
      </c>
      <c r="AK34" s="50">
        <f ca="1"/>
        <v>0</v>
      </c>
      <c r="AL34" s="50">
        <f ca="1"/>
        <v>0</v>
      </c>
      <c r="AM34" s="78">
        <f t="shared" ca="1" si="0"/>
        <v>8.3333333333333329E-2</v>
      </c>
      <c r="AN34" s="78">
        <f t="shared" ca="1" si="1"/>
        <v>8.3333333333333329E-2</v>
      </c>
      <c r="AO34" s="78">
        <f t="shared" ca="1" si="2"/>
        <v>0</v>
      </c>
      <c r="AP34" s="78">
        <f t="shared" ca="1" si="3"/>
        <v>0</v>
      </c>
    </row>
    <row r="35" spans="2:42" ht="13" x14ac:dyDescent="0.3">
      <c r="H35" s="236"/>
      <c r="I35" s="236"/>
      <c r="J35" s="236"/>
      <c r="L35" s="280" t="e">
        <f>#REF!+#REF!</f>
        <v>#REF!</v>
      </c>
      <c r="M35" s="280"/>
      <c r="N35" s="280"/>
      <c r="O35" s="280"/>
      <c r="Q35" s="1"/>
      <c r="R35" s="1"/>
      <c r="AB35" s="125"/>
      <c r="AC35" s="125"/>
      <c r="AD35" s="125"/>
      <c r="AH35" s="54">
        <f t="shared" si="4"/>
        <v>0.62000000000000022</v>
      </c>
      <c r="AI35" s="50">
        <f ca="1"/>
        <v>1</v>
      </c>
      <c r="AJ35" s="50">
        <f ca="1"/>
        <v>1</v>
      </c>
      <c r="AK35" s="50">
        <f ca="1"/>
        <v>0</v>
      </c>
      <c r="AL35" s="50">
        <f ca="1"/>
        <v>0</v>
      </c>
      <c r="AM35" s="78">
        <f t="shared" ca="1" si="0"/>
        <v>2.7777777777777776E-2</v>
      </c>
      <c r="AN35" s="78">
        <f t="shared" ca="1" si="1"/>
        <v>2.7777777777777776E-2</v>
      </c>
      <c r="AO35" s="78">
        <f t="shared" ca="1" si="2"/>
        <v>0</v>
      </c>
      <c r="AP35" s="78">
        <f t="shared" ca="1" si="3"/>
        <v>0</v>
      </c>
    </row>
    <row r="36" spans="2:42" ht="13" x14ac:dyDescent="0.3">
      <c r="H36" s="32"/>
      <c r="I36" s="32"/>
      <c r="J36" s="32"/>
      <c r="L36" s="67"/>
      <c r="M36" s="67"/>
      <c r="N36" s="67"/>
      <c r="O36" s="67"/>
      <c r="S36" s="50">
        <v>0.93971754437601895</v>
      </c>
      <c r="T36" s="50">
        <v>0.92096606295830163</v>
      </c>
      <c r="U36" s="50">
        <v>0.90620191748665602</v>
      </c>
      <c r="V36" s="50">
        <v>1.025258820090851</v>
      </c>
      <c r="W36" s="50">
        <v>0.84199280232395857</v>
      </c>
      <c r="X36" s="50">
        <v>0.84199280232395857</v>
      </c>
      <c r="Y36" s="50">
        <v>0.93985068068916289</v>
      </c>
      <c r="Z36" s="50">
        <v>0.93985068068916289</v>
      </c>
      <c r="AB36" s="125"/>
      <c r="AC36" s="124"/>
      <c r="AD36" s="124"/>
      <c r="AE36" s="123"/>
      <c r="AH36" s="54">
        <f t="shared" si="4"/>
        <v>0.64000000000000024</v>
      </c>
      <c r="AI36" s="50">
        <f ca="1"/>
        <v>2</v>
      </c>
      <c r="AJ36" s="50">
        <f ca="1"/>
        <v>2</v>
      </c>
      <c r="AK36" s="50">
        <f ca="1"/>
        <v>0</v>
      </c>
      <c r="AL36" s="50">
        <f ca="1"/>
        <v>0</v>
      </c>
      <c r="AM36" s="78">
        <f t="shared" ref="AM36:AM54" ca="1" si="5">AI36/AI$55</f>
        <v>5.5555555555555552E-2</v>
      </c>
      <c r="AN36" s="78">
        <f t="shared" ref="AN36:AN54" ca="1" si="6">AJ36/AJ$55</f>
        <v>5.5555555555555552E-2</v>
      </c>
      <c r="AO36" s="78">
        <f t="shared" ref="AO36:AO54" ca="1" si="7">AK36/AK$55</f>
        <v>0</v>
      </c>
      <c r="AP36" s="78">
        <f t="shared" ref="AP36:AP54" ca="1" si="8">AL36/AL$55</f>
        <v>0</v>
      </c>
    </row>
    <row r="37" spans="2:42" ht="13" x14ac:dyDescent="0.3">
      <c r="H37" s="32"/>
      <c r="I37" s="32"/>
      <c r="J37" s="32"/>
      <c r="L37" s="67"/>
      <c r="M37" s="67"/>
      <c r="N37" s="67"/>
      <c r="O37" s="67"/>
      <c r="Q37" s="23"/>
      <c r="R37" s="23"/>
      <c r="S37" s="50">
        <v>0.95512940721585382</v>
      </c>
      <c r="T37" s="50">
        <v>0.94086968324426001</v>
      </c>
      <c r="U37" s="50">
        <v>0.94002365980513236</v>
      </c>
      <c r="V37" s="50">
        <v>1.3276925365027596</v>
      </c>
      <c r="W37" s="50">
        <v>0.83794201855758099</v>
      </c>
      <c r="X37" s="50">
        <v>0.83794201855758099</v>
      </c>
      <c r="Y37" s="50">
        <v>0.96863382423057098</v>
      </c>
      <c r="Z37" s="50">
        <v>0.96863382423057098</v>
      </c>
      <c r="AB37" s="125"/>
      <c r="AC37" s="124"/>
      <c r="AD37" s="124"/>
      <c r="AE37" s="123"/>
      <c r="AH37" s="54">
        <f t="shared" si="4"/>
        <v>0.66000000000000025</v>
      </c>
      <c r="AI37" s="50">
        <f ca="1"/>
        <v>3</v>
      </c>
      <c r="AJ37" s="50">
        <f ca="1"/>
        <v>3</v>
      </c>
      <c r="AK37" s="50">
        <f ca="1"/>
        <v>0</v>
      </c>
      <c r="AL37" s="50">
        <f ca="1"/>
        <v>0</v>
      </c>
      <c r="AM37" s="78">
        <f t="shared" ca="1" si="5"/>
        <v>8.3333333333333329E-2</v>
      </c>
      <c r="AN37" s="78">
        <f t="shared" ca="1" si="6"/>
        <v>8.3333333333333329E-2</v>
      </c>
      <c r="AO37" s="78">
        <f t="shared" ca="1" si="7"/>
        <v>0</v>
      </c>
      <c r="AP37" s="78">
        <f t="shared" ca="1" si="8"/>
        <v>0</v>
      </c>
    </row>
    <row r="38" spans="2:42" ht="13" x14ac:dyDescent="0.3">
      <c r="H38" s="32"/>
      <c r="I38" s="32"/>
      <c r="J38" s="32"/>
      <c r="L38" s="67"/>
      <c r="M38" s="67"/>
      <c r="N38" s="67"/>
      <c r="O38" s="67"/>
      <c r="Q38" s="23"/>
      <c r="R38" s="23"/>
      <c r="S38" s="50">
        <v>0.88389095978776744</v>
      </c>
      <c r="T38" s="50">
        <v>0.85048441642371952</v>
      </c>
      <c r="U38" s="50">
        <v>0.87272561895722045</v>
      </c>
      <c r="V38" s="50">
        <v>1.0355990858639463</v>
      </c>
      <c r="W38" s="50">
        <v>0.71736079451628731</v>
      </c>
      <c r="X38" s="50">
        <v>0.71736079451628731</v>
      </c>
      <c r="Y38" s="50">
        <v>0.90327533524814529</v>
      </c>
      <c r="Z38" s="50">
        <v>0.90327533524814529</v>
      </c>
      <c r="AB38" s="125"/>
      <c r="AC38" s="124"/>
      <c r="AD38" s="124"/>
      <c r="AE38" s="123"/>
      <c r="AH38" s="54">
        <f t="shared" si="4"/>
        <v>0.68000000000000027</v>
      </c>
      <c r="AI38" s="50">
        <f ca="1"/>
        <v>0</v>
      </c>
      <c r="AJ38" s="50">
        <f ca="1"/>
        <v>0</v>
      </c>
      <c r="AK38" s="50">
        <f ca="1"/>
        <v>0</v>
      </c>
      <c r="AL38" s="50">
        <f ca="1"/>
        <v>0</v>
      </c>
      <c r="AM38" s="78">
        <f t="shared" ca="1" si="5"/>
        <v>0</v>
      </c>
      <c r="AN38" s="78">
        <f t="shared" ca="1" si="6"/>
        <v>0</v>
      </c>
      <c r="AO38" s="78">
        <f t="shared" ca="1" si="7"/>
        <v>0</v>
      </c>
      <c r="AP38" s="78">
        <f t="shared" ca="1" si="8"/>
        <v>0</v>
      </c>
    </row>
    <row r="39" spans="2:42" ht="13" x14ac:dyDescent="0.3">
      <c r="H39" s="32"/>
      <c r="I39" s="32"/>
      <c r="J39" s="32"/>
      <c r="L39" s="67"/>
      <c r="M39" s="67"/>
      <c r="N39" s="67"/>
      <c r="O39" s="67"/>
      <c r="S39" s="50">
        <v>0.90454336119292456</v>
      </c>
      <c r="T39" s="50">
        <v>0.87621388318518578</v>
      </c>
      <c r="U39" s="50">
        <v>0.8255198660022609</v>
      </c>
      <c r="V39" s="50">
        <v>0.88415443840478569</v>
      </c>
      <c r="W39" s="50">
        <v>0.64930757205646961</v>
      </c>
      <c r="X39" s="50">
        <v>0.64930757205646961</v>
      </c>
      <c r="Y39" s="50">
        <v>0.91219755652964274</v>
      </c>
      <c r="Z39" s="50">
        <v>0.91219755652964274</v>
      </c>
      <c r="AB39" s="125"/>
      <c r="AC39" s="124"/>
      <c r="AD39" s="124"/>
      <c r="AH39" s="54">
        <f t="shared" si="4"/>
        <v>0.70000000000000029</v>
      </c>
      <c r="AI39" s="50">
        <f ca="1"/>
        <v>4</v>
      </c>
      <c r="AJ39" s="50">
        <f ca="1"/>
        <v>4</v>
      </c>
      <c r="AK39" s="50">
        <f ca="1"/>
        <v>0</v>
      </c>
      <c r="AL39" s="50">
        <f ca="1"/>
        <v>0</v>
      </c>
      <c r="AM39" s="78">
        <f t="shared" ca="1" si="5"/>
        <v>0.1111111111111111</v>
      </c>
      <c r="AN39" s="78">
        <f t="shared" ca="1" si="6"/>
        <v>0.1111111111111111</v>
      </c>
      <c r="AO39" s="78">
        <f t="shared" ca="1" si="7"/>
        <v>0</v>
      </c>
      <c r="AP39" s="78">
        <f t="shared" ca="1" si="8"/>
        <v>0</v>
      </c>
    </row>
    <row r="40" spans="2:42" ht="13" x14ac:dyDescent="0.3">
      <c r="H40" s="32"/>
      <c r="I40" s="32"/>
      <c r="J40" s="32"/>
      <c r="L40" s="67"/>
      <c r="M40" s="67"/>
      <c r="N40" s="67"/>
      <c r="O40" s="67"/>
      <c r="Q40" s="1"/>
      <c r="R40" s="1"/>
      <c r="S40" s="50">
        <v>0.91515846306961757</v>
      </c>
      <c r="T40" s="50">
        <v>0.88961666948698404</v>
      </c>
      <c r="U40" s="50">
        <v>0.98101063314358139</v>
      </c>
      <c r="V40" s="50">
        <v>1.2796460818641777</v>
      </c>
      <c r="W40" s="50">
        <v>0.69734404100532266</v>
      </c>
      <c r="X40" s="50">
        <v>0.69734404100532266</v>
      </c>
      <c r="Y40" s="50">
        <v>0.9180493304522771</v>
      </c>
      <c r="Z40" s="50">
        <v>0.9180493304522771</v>
      </c>
      <c r="AB40" s="125"/>
      <c r="AC40" s="124"/>
      <c r="AD40" s="125"/>
      <c r="AH40" s="54">
        <f t="shared" si="4"/>
        <v>0.72000000000000031</v>
      </c>
      <c r="AI40" s="50">
        <f ca="1"/>
        <v>2</v>
      </c>
      <c r="AJ40" s="50">
        <f ca="1"/>
        <v>2</v>
      </c>
      <c r="AK40" s="50">
        <f ca="1"/>
        <v>0</v>
      </c>
      <c r="AL40" s="50">
        <f ca="1"/>
        <v>0</v>
      </c>
      <c r="AM40" s="78">
        <f t="shared" ca="1" si="5"/>
        <v>5.5555555555555552E-2</v>
      </c>
      <c r="AN40" s="78">
        <f t="shared" ca="1" si="6"/>
        <v>5.5555555555555552E-2</v>
      </c>
      <c r="AO40" s="78">
        <f t="shared" ca="1" si="7"/>
        <v>0</v>
      </c>
      <c r="AP40" s="78">
        <f t="shared" ca="1" si="8"/>
        <v>0</v>
      </c>
    </row>
    <row r="41" spans="2:42" ht="13" x14ac:dyDescent="0.3">
      <c r="H41" s="32"/>
      <c r="I41" s="32"/>
      <c r="J41" s="32"/>
      <c r="L41" s="67"/>
      <c r="M41" s="67"/>
      <c r="N41" s="67"/>
      <c r="O41" s="67"/>
      <c r="S41" s="50">
        <v>0.89384408574675711</v>
      </c>
      <c r="T41" s="50">
        <v>0.8628468603922681</v>
      </c>
      <c r="U41" s="50">
        <v>0.66932471576536923</v>
      </c>
      <c r="V41" s="50">
        <v>0.80887619574323866</v>
      </c>
      <c r="W41" s="50">
        <v>0.69666508558671225</v>
      </c>
      <c r="X41" s="50">
        <v>0.69666508558671225</v>
      </c>
      <c r="Y41" s="50">
        <v>0.90702344576849558</v>
      </c>
      <c r="Z41" s="50">
        <v>0.90702344576849558</v>
      </c>
      <c r="AC41" s="124"/>
      <c r="AD41" s="125"/>
      <c r="AH41" s="54">
        <f t="shared" si="4"/>
        <v>0.74000000000000032</v>
      </c>
      <c r="AI41" s="50">
        <f ca="1"/>
        <v>1</v>
      </c>
      <c r="AJ41" s="50">
        <f ca="1"/>
        <v>1</v>
      </c>
      <c r="AK41" s="50">
        <f ca="1"/>
        <v>0</v>
      </c>
      <c r="AL41" s="50">
        <f ca="1"/>
        <v>0</v>
      </c>
      <c r="AM41" s="78">
        <f t="shared" ca="1" si="5"/>
        <v>2.7777777777777776E-2</v>
      </c>
      <c r="AN41" s="78">
        <f t="shared" ca="1" si="6"/>
        <v>2.7777777777777776E-2</v>
      </c>
      <c r="AO41" s="78">
        <f t="shared" ca="1" si="7"/>
        <v>0</v>
      </c>
      <c r="AP41" s="78">
        <f t="shared" ca="1" si="8"/>
        <v>0</v>
      </c>
    </row>
    <row r="42" spans="2:42" ht="13" x14ac:dyDescent="0.3">
      <c r="H42" s="32"/>
      <c r="I42" s="32"/>
      <c r="J42" s="32"/>
      <c r="L42" s="67"/>
      <c r="M42" s="67"/>
      <c r="N42" s="67"/>
      <c r="O42" s="67"/>
      <c r="S42" s="50">
        <v>0.82875149960827155</v>
      </c>
      <c r="T42" s="50">
        <v>0.78330813631060248</v>
      </c>
      <c r="U42" s="50">
        <v>0.72093596248382741</v>
      </c>
      <c r="V42" s="50">
        <v>0.92358943734925147</v>
      </c>
      <c r="W42" s="50">
        <v>0.63930239024652158</v>
      </c>
      <c r="X42" s="50">
        <v>0.63930239024652158</v>
      </c>
      <c r="Y42" s="50">
        <v>0.89116494474085106</v>
      </c>
      <c r="Z42" s="50">
        <v>0.89116494474085106</v>
      </c>
      <c r="AH42" s="54">
        <f t="shared" si="4"/>
        <v>0.76000000000000034</v>
      </c>
      <c r="AI42" s="50">
        <f ca="1"/>
        <v>2</v>
      </c>
      <c r="AJ42" s="50">
        <f ca="1"/>
        <v>2</v>
      </c>
      <c r="AK42" s="50">
        <f ca="1"/>
        <v>0</v>
      </c>
      <c r="AL42" s="50">
        <f ca="1"/>
        <v>0</v>
      </c>
      <c r="AM42" s="78">
        <f t="shared" ca="1" si="5"/>
        <v>5.5555555555555552E-2</v>
      </c>
      <c r="AN42" s="78">
        <f t="shared" ca="1" si="6"/>
        <v>5.5555555555555552E-2</v>
      </c>
      <c r="AO42" s="78">
        <f t="shared" ca="1" si="7"/>
        <v>0</v>
      </c>
      <c r="AP42" s="78">
        <f t="shared" ca="1" si="8"/>
        <v>0</v>
      </c>
    </row>
    <row r="43" spans="2:42" ht="13" x14ac:dyDescent="0.3">
      <c r="H43" s="32"/>
      <c r="I43" s="32"/>
      <c r="J43" s="32"/>
      <c r="L43" s="67"/>
      <c r="M43" s="67"/>
      <c r="N43" s="67"/>
      <c r="O43" s="67"/>
      <c r="S43" s="50">
        <v>0.94858054088505006</v>
      </c>
      <c r="T43" s="50">
        <v>0.93236958228746547</v>
      </c>
      <c r="U43" s="50">
        <v>1.1195277786005695</v>
      </c>
      <c r="V43" s="50">
        <v>1.0096765799893854</v>
      </c>
      <c r="W43" s="50">
        <v>0.74934624222209667</v>
      </c>
      <c r="X43" s="50">
        <v>0.74934624222209667</v>
      </c>
      <c r="Y43" s="50">
        <v>0.9555542961286928</v>
      </c>
      <c r="Z43" s="50">
        <v>0.9555542961286928</v>
      </c>
      <c r="AH43" s="54">
        <f t="shared" si="4"/>
        <v>0.78000000000000036</v>
      </c>
      <c r="AI43" s="50">
        <f ca="1"/>
        <v>2</v>
      </c>
      <c r="AJ43" s="50">
        <f ca="1"/>
        <v>2</v>
      </c>
      <c r="AK43" s="50">
        <f ca="1"/>
        <v>0</v>
      </c>
      <c r="AL43" s="50">
        <f ca="1"/>
        <v>0</v>
      </c>
      <c r="AM43" s="78">
        <f t="shared" ca="1" si="5"/>
        <v>5.5555555555555552E-2</v>
      </c>
      <c r="AN43" s="78">
        <f t="shared" ca="1" si="6"/>
        <v>5.5555555555555552E-2</v>
      </c>
      <c r="AO43" s="78">
        <f t="shared" ca="1" si="7"/>
        <v>0</v>
      </c>
      <c r="AP43" s="78">
        <f t="shared" ca="1" si="8"/>
        <v>0</v>
      </c>
    </row>
    <row r="44" spans="2:42" ht="13" x14ac:dyDescent="0.3">
      <c r="H44" s="32"/>
      <c r="I44" s="32"/>
      <c r="J44" s="32"/>
      <c r="L44" s="67"/>
      <c r="M44" s="67"/>
      <c r="N44" s="67"/>
      <c r="O44" s="67"/>
      <c r="S44" s="50">
        <v>0.95723917591328389</v>
      </c>
      <c r="T44" s="50">
        <v>0.94360531062046926</v>
      </c>
      <c r="U44" s="50">
        <v>0.99434023074173239</v>
      </c>
      <c r="V44" s="50">
        <v>0.9213571823016814</v>
      </c>
      <c r="W44" s="50">
        <v>0.80474725867318497</v>
      </c>
      <c r="X44" s="50">
        <v>0.80474725867318497</v>
      </c>
      <c r="Y44" s="50">
        <v>0.97521074242250083</v>
      </c>
      <c r="Z44" s="50">
        <v>0.97521074242250083</v>
      </c>
      <c r="AH44" s="54">
        <f t="shared" si="4"/>
        <v>0.80000000000000038</v>
      </c>
      <c r="AI44" s="50">
        <f ca="1"/>
        <v>1</v>
      </c>
      <c r="AJ44" s="50">
        <f ca="1"/>
        <v>1</v>
      </c>
      <c r="AK44" s="50">
        <f ca="1"/>
        <v>0</v>
      </c>
      <c r="AL44" s="50">
        <f ca="1"/>
        <v>0</v>
      </c>
      <c r="AM44" s="78">
        <f t="shared" ca="1" si="5"/>
        <v>2.7777777777777776E-2</v>
      </c>
      <c r="AN44" s="78">
        <f t="shared" ca="1" si="6"/>
        <v>2.7777777777777776E-2</v>
      </c>
      <c r="AO44" s="78">
        <f t="shared" ca="1" si="7"/>
        <v>0</v>
      </c>
      <c r="AP44" s="78">
        <f t="shared" ca="1" si="8"/>
        <v>0</v>
      </c>
    </row>
    <row r="45" spans="2:42" ht="13" x14ac:dyDescent="0.3">
      <c r="H45" s="32"/>
      <c r="I45" s="32"/>
      <c r="J45" s="32"/>
      <c r="L45" s="67"/>
      <c r="M45" s="67"/>
      <c r="N45" s="67"/>
      <c r="O45" s="67"/>
      <c r="S45" s="50">
        <v>0.94304937200194261</v>
      </c>
      <c r="T45" s="50">
        <v>0.92519834978774118</v>
      </c>
      <c r="U45" s="50">
        <v>0.87002731736802053</v>
      </c>
      <c r="V45" s="50">
        <v>0.88139169103791482</v>
      </c>
      <c r="W45" s="50">
        <v>0.63724643095185829</v>
      </c>
      <c r="X45" s="50">
        <v>0.63724643095185829</v>
      </c>
      <c r="Y45" s="50">
        <v>0.94801187914983953</v>
      </c>
      <c r="Z45" s="50">
        <v>0.94801187914983953</v>
      </c>
      <c r="AH45" s="54">
        <f t="shared" si="4"/>
        <v>0.8200000000000004</v>
      </c>
      <c r="AI45" s="50">
        <f ca="1"/>
        <v>2</v>
      </c>
      <c r="AJ45" s="50">
        <f ca="1"/>
        <v>2</v>
      </c>
      <c r="AK45" s="50">
        <f ca="1"/>
        <v>0</v>
      </c>
      <c r="AL45" s="50">
        <f ca="1"/>
        <v>0</v>
      </c>
      <c r="AM45" s="78">
        <f t="shared" ca="1" si="5"/>
        <v>5.5555555555555552E-2</v>
      </c>
      <c r="AN45" s="78">
        <f t="shared" ca="1" si="6"/>
        <v>5.5555555555555552E-2</v>
      </c>
      <c r="AO45" s="78">
        <f t="shared" ca="1" si="7"/>
        <v>0</v>
      </c>
      <c r="AP45" s="78">
        <f t="shared" ca="1" si="8"/>
        <v>0</v>
      </c>
    </row>
    <row r="46" spans="2:42" ht="13" x14ac:dyDescent="0.3">
      <c r="B46" s="21" t="s">
        <v>9</v>
      </c>
      <c r="C46" s="21"/>
      <c r="D46" s="21"/>
      <c r="E46" s="21"/>
      <c r="F46" s="21"/>
      <c r="G46" s="21"/>
      <c r="H46" s="21"/>
      <c r="I46" s="21"/>
      <c r="J46" s="21"/>
      <c r="K46" s="21"/>
      <c r="L46" s="21"/>
      <c r="M46" s="21"/>
      <c r="N46" s="21"/>
      <c r="O46" s="21"/>
      <c r="P46" s="21"/>
      <c r="AH46" s="54">
        <f>AH45+0.02</f>
        <v>0.84000000000000041</v>
      </c>
      <c r="AI46" s="50">
        <f ca="1"/>
        <v>2</v>
      </c>
      <c r="AJ46" s="50">
        <f ca="1"/>
        <v>2</v>
      </c>
      <c r="AK46" s="50">
        <f ca="1"/>
        <v>0</v>
      </c>
      <c r="AL46" s="50">
        <f ca="1"/>
        <v>0</v>
      </c>
      <c r="AM46" s="78">
        <f t="shared" ca="1" si="5"/>
        <v>5.5555555555555552E-2</v>
      </c>
      <c r="AN46" s="78">
        <f t="shared" ca="1" si="6"/>
        <v>5.5555555555555552E-2</v>
      </c>
      <c r="AO46" s="78">
        <f t="shared" ca="1" si="7"/>
        <v>0</v>
      </c>
      <c r="AP46" s="78">
        <f t="shared" ca="1" si="8"/>
        <v>0</v>
      </c>
    </row>
    <row r="47" spans="2:42" ht="13" x14ac:dyDescent="0.3">
      <c r="B47" s="281"/>
      <c r="C47" s="281"/>
      <c r="D47" s="281"/>
      <c r="E47" s="281"/>
      <c r="F47" s="281"/>
      <c r="G47" s="281"/>
      <c r="H47" s="281"/>
      <c r="I47" s="281"/>
      <c r="J47" s="281"/>
      <c r="K47" s="281"/>
      <c r="L47" s="281"/>
      <c r="M47" s="281"/>
      <c r="N47" s="281"/>
      <c r="O47" s="281"/>
      <c r="P47" s="281"/>
      <c r="S47" s="50">
        <v>0.95069365227289371</v>
      </c>
      <c r="T47" s="50">
        <v>0.93512092230414556</v>
      </c>
      <c r="U47" s="50">
        <v>0.82784801882453274</v>
      </c>
      <c r="V47" s="50">
        <v>0.8005087010924169</v>
      </c>
      <c r="W47" s="50">
        <v>0.8434849743836732</v>
      </c>
      <c r="X47" s="50">
        <v>0.8434849743836732</v>
      </c>
      <c r="Y47" s="50">
        <v>0.958192623619888</v>
      </c>
      <c r="Z47" s="50">
        <v>0.958192623619888</v>
      </c>
      <c r="AH47" s="54">
        <f t="shared" si="4"/>
        <v>0.86000000000000043</v>
      </c>
      <c r="AI47" s="50">
        <f ca="1"/>
        <v>3</v>
      </c>
      <c r="AJ47" s="50">
        <f ca="1"/>
        <v>3</v>
      </c>
      <c r="AK47" s="50">
        <f ca="1"/>
        <v>0</v>
      </c>
      <c r="AL47" s="50">
        <f ca="1"/>
        <v>0</v>
      </c>
      <c r="AM47" s="78">
        <f t="shared" ca="1" si="5"/>
        <v>8.3333333333333329E-2</v>
      </c>
      <c r="AN47" s="78">
        <f t="shared" ca="1" si="6"/>
        <v>8.3333333333333329E-2</v>
      </c>
      <c r="AO47" s="78">
        <f t="shared" ca="1" si="7"/>
        <v>0</v>
      </c>
      <c r="AP47" s="78">
        <f t="shared" ca="1" si="8"/>
        <v>0</v>
      </c>
    </row>
    <row r="48" spans="2:42" x14ac:dyDescent="0.25">
      <c r="B48" s="277"/>
      <c r="C48" s="277"/>
      <c r="D48" s="277"/>
      <c r="E48" s="277"/>
      <c r="F48" s="277"/>
      <c r="G48" s="277"/>
      <c r="H48" s="277"/>
      <c r="I48" s="277"/>
      <c r="J48" s="277"/>
      <c r="K48" s="277"/>
      <c r="L48" s="277"/>
      <c r="M48" s="277"/>
      <c r="N48" s="277"/>
      <c r="O48" s="277"/>
      <c r="P48" s="277"/>
      <c r="S48" s="50">
        <v>0.73809382178904626</v>
      </c>
      <c r="T48" s="50">
        <v>0.67798583006466306</v>
      </c>
      <c r="U48" s="50">
        <v>0.82237413915864543</v>
      </c>
      <c r="V48" s="50">
        <v>0.8012167540451407</v>
      </c>
      <c r="W48" s="50">
        <v>0.68057022397012135</v>
      </c>
      <c r="X48" s="50">
        <v>0.68057022397012135</v>
      </c>
      <c r="Y48" s="50">
        <v>0.8824346443058253</v>
      </c>
      <c r="Z48" s="50">
        <v>0.8824346443058253</v>
      </c>
      <c r="AH48" s="54">
        <f t="shared" si="4"/>
        <v>0.88000000000000045</v>
      </c>
      <c r="AI48" s="50">
        <f ca="1"/>
        <v>0</v>
      </c>
      <c r="AJ48" s="50">
        <f ca="1"/>
        <v>0</v>
      </c>
      <c r="AK48" s="50">
        <f ca="1"/>
        <v>1</v>
      </c>
      <c r="AL48" s="50">
        <f ca="1"/>
        <v>1</v>
      </c>
      <c r="AM48" s="78">
        <f t="shared" ca="1" si="5"/>
        <v>0</v>
      </c>
      <c r="AN48" s="78">
        <f t="shared" ca="1" si="6"/>
        <v>0</v>
      </c>
      <c r="AO48" s="78">
        <f t="shared" ca="1" si="7"/>
        <v>2.7777777777777776E-2</v>
      </c>
      <c r="AP48" s="78">
        <f t="shared" ca="1" si="8"/>
        <v>2.7777777777777776E-2</v>
      </c>
    </row>
    <row r="49" spans="2:42" x14ac:dyDescent="0.25">
      <c r="B49" s="277"/>
      <c r="C49" s="277"/>
      <c r="D49" s="277"/>
      <c r="E49" s="277"/>
      <c r="F49" s="277"/>
      <c r="G49" s="277"/>
      <c r="H49" s="277"/>
      <c r="I49" s="277"/>
      <c r="J49" s="277"/>
      <c r="K49" s="277"/>
      <c r="L49" s="277"/>
      <c r="M49" s="277"/>
      <c r="N49" s="277"/>
      <c r="O49" s="277"/>
      <c r="P49" s="277"/>
      <c r="S49" s="50">
        <v>0.76261476898669955</v>
      </c>
      <c r="T49" s="50">
        <v>0.70586584806732666</v>
      </c>
      <c r="U49" s="50">
        <v>0.85701606572709577</v>
      </c>
      <c r="V49" s="50">
        <v>0.67349907774128503</v>
      </c>
      <c r="W49" s="50">
        <v>0.65401302646465076</v>
      </c>
      <c r="X49" s="50">
        <v>0.65401302646465076</v>
      </c>
      <c r="Y49" s="50">
        <v>0.88412453467546404</v>
      </c>
      <c r="Z49" s="50">
        <v>0.88412453467546404</v>
      </c>
      <c r="AH49" s="54">
        <f t="shared" si="4"/>
        <v>0.90000000000000047</v>
      </c>
      <c r="AI49" s="50">
        <f ca="1"/>
        <v>3</v>
      </c>
      <c r="AJ49" s="50">
        <f ca="1"/>
        <v>3</v>
      </c>
      <c r="AK49" s="50">
        <f ca="1"/>
        <v>5</v>
      </c>
      <c r="AL49" s="50">
        <f ca="1"/>
        <v>5</v>
      </c>
      <c r="AM49" s="78">
        <f t="shared" ca="1" si="5"/>
        <v>8.3333333333333329E-2</v>
      </c>
      <c r="AN49" s="78">
        <f t="shared" ca="1" si="6"/>
        <v>8.3333333333333329E-2</v>
      </c>
      <c r="AO49" s="78">
        <f t="shared" ca="1" si="7"/>
        <v>0.1388888888888889</v>
      </c>
      <c r="AP49" s="78">
        <f t="shared" ca="1" si="8"/>
        <v>0.1388888888888889</v>
      </c>
    </row>
    <row r="50" spans="2:42" x14ac:dyDescent="0.25">
      <c r="B50" s="131" t="s">
        <v>195</v>
      </c>
      <c r="C50" s="10"/>
      <c r="D50" s="10"/>
      <c r="E50" s="10"/>
      <c r="F50" s="10"/>
      <c r="G50" s="10"/>
      <c r="H50" s="10"/>
      <c r="I50" s="10"/>
      <c r="J50" s="10"/>
      <c r="K50" s="10"/>
      <c r="L50" s="10"/>
      <c r="M50" s="10"/>
      <c r="N50" s="10"/>
      <c r="O50" s="10"/>
      <c r="P50" s="10"/>
      <c r="S50" s="50">
        <v>0.92233743114318967</v>
      </c>
      <c r="T50" s="50">
        <v>0.89877234171171472</v>
      </c>
      <c r="U50" s="50">
        <v>0.99540580214815144</v>
      </c>
      <c r="V50" s="50">
        <v>0.65458253994189763</v>
      </c>
      <c r="W50" s="50">
        <v>0.88648890888602949</v>
      </c>
      <c r="X50" s="50">
        <v>0.88648890888602949</v>
      </c>
      <c r="Y50" s="50">
        <v>0.92198314476813359</v>
      </c>
      <c r="Z50" s="50">
        <v>0.92198314476813359</v>
      </c>
      <c r="AH50" s="54">
        <f t="shared" si="4"/>
        <v>0.92000000000000048</v>
      </c>
      <c r="AI50" s="50">
        <f ca="1"/>
        <v>2</v>
      </c>
      <c r="AJ50" s="50">
        <f ca="1"/>
        <v>2</v>
      </c>
      <c r="AK50" s="50">
        <f ca="1"/>
        <v>8</v>
      </c>
      <c r="AL50" s="50">
        <f ca="1"/>
        <v>8</v>
      </c>
      <c r="AM50" s="78">
        <f t="shared" ca="1" si="5"/>
        <v>5.5555555555555552E-2</v>
      </c>
      <c r="AN50" s="78">
        <f t="shared" ca="1" si="6"/>
        <v>5.5555555555555552E-2</v>
      </c>
      <c r="AO50" s="78">
        <f t="shared" ca="1" si="7"/>
        <v>0.22222222222222221</v>
      </c>
      <c r="AP50" s="78">
        <f t="shared" ca="1" si="8"/>
        <v>0.22222222222222221</v>
      </c>
    </row>
    <row r="51" spans="2:42" x14ac:dyDescent="0.25">
      <c r="I51" s="79"/>
      <c r="AH51" s="54">
        <f t="shared" si="4"/>
        <v>0.9400000000000005</v>
      </c>
      <c r="AI51" s="50">
        <f ca="1"/>
        <v>0</v>
      </c>
      <c r="AJ51" s="50">
        <f ca="1"/>
        <v>0</v>
      </c>
      <c r="AK51" s="50">
        <f ca="1"/>
        <v>10</v>
      </c>
      <c r="AL51" s="50">
        <f ca="1"/>
        <v>10</v>
      </c>
      <c r="AM51" s="78">
        <f t="shared" ca="1" si="5"/>
        <v>0</v>
      </c>
      <c r="AN51" s="78">
        <f t="shared" ca="1" si="6"/>
        <v>0</v>
      </c>
      <c r="AO51" s="78">
        <f t="shared" ca="1" si="7"/>
        <v>0.27777777777777779</v>
      </c>
      <c r="AP51" s="78">
        <f t="shared" ca="1" si="8"/>
        <v>0.27777777777777779</v>
      </c>
    </row>
    <row r="52" spans="2:42" x14ac:dyDescent="0.25">
      <c r="I52" s="79"/>
      <c r="AH52" s="54">
        <f t="shared" si="4"/>
        <v>0.96000000000000052</v>
      </c>
      <c r="AI52" s="50">
        <f ca="1"/>
        <v>1</v>
      </c>
      <c r="AJ52" s="50">
        <f ca="1"/>
        <v>1</v>
      </c>
      <c r="AK52" s="50">
        <f ca="1"/>
        <v>8</v>
      </c>
      <c r="AL52" s="50">
        <f ca="1"/>
        <v>8</v>
      </c>
      <c r="AM52" s="78">
        <f t="shared" ca="1" si="5"/>
        <v>2.7777777777777776E-2</v>
      </c>
      <c r="AN52" s="78">
        <f t="shared" ca="1" si="6"/>
        <v>2.7777777777777776E-2</v>
      </c>
      <c r="AO52" s="78">
        <f t="shared" ca="1" si="7"/>
        <v>0.22222222222222221</v>
      </c>
      <c r="AP52" s="78">
        <f t="shared" ca="1" si="8"/>
        <v>0.22222222222222221</v>
      </c>
    </row>
    <row r="53" spans="2:42" x14ac:dyDescent="0.25">
      <c r="S53" s="50">
        <v>0.91676742980100667</v>
      </c>
      <c r="T53" s="50">
        <v>0.89159256427007938</v>
      </c>
      <c r="U53" s="50">
        <v>0.66316508339535996</v>
      </c>
      <c r="V53" s="50">
        <v>0.583368860069295</v>
      </c>
      <c r="W53" s="50">
        <v>0.58095189036181716</v>
      </c>
      <c r="X53" s="50">
        <v>0.58095189036181716</v>
      </c>
      <c r="Y53" s="50">
        <v>0.92031666088418085</v>
      </c>
      <c r="Z53" s="50">
        <v>0.92031666088418085</v>
      </c>
      <c r="AH53" s="54">
        <f t="shared" si="4"/>
        <v>0.98000000000000054</v>
      </c>
      <c r="AI53" s="50">
        <f ca="1"/>
        <v>0</v>
      </c>
      <c r="AJ53" s="50">
        <f ca="1"/>
        <v>0</v>
      </c>
      <c r="AK53" s="50">
        <f ca="1"/>
        <v>3</v>
      </c>
      <c r="AL53" s="50">
        <f ca="1"/>
        <v>3</v>
      </c>
      <c r="AM53" s="78">
        <f t="shared" ca="1" si="5"/>
        <v>0</v>
      </c>
      <c r="AN53" s="78">
        <f t="shared" ca="1" si="6"/>
        <v>0</v>
      </c>
      <c r="AO53" s="78">
        <f t="shared" ca="1" si="7"/>
        <v>8.3333333333333329E-2</v>
      </c>
      <c r="AP53" s="78">
        <f t="shared" ca="1" si="8"/>
        <v>8.3333333333333329E-2</v>
      </c>
    </row>
    <row r="54" spans="2:42" x14ac:dyDescent="0.25">
      <c r="C54" s="50"/>
      <c r="S54" s="50">
        <v>0.83508776151149178</v>
      </c>
      <c r="T54" s="50">
        <v>0.79102552322340125</v>
      </c>
      <c r="U54" s="50">
        <v>0.79977736908453889</v>
      </c>
      <c r="V54" s="50">
        <v>0.61844749392049114</v>
      </c>
      <c r="W54" s="50">
        <v>0.83722895434480038</v>
      </c>
      <c r="X54" s="50">
        <v>0.83722895434480038</v>
      </c>
      <c r="Y54" s="50">
        <v>0.89185378465409171</v>
      </c>
      <c r="Z54" s="50">
        <v>0.89185378465409171</v>
      </c>
      <c r="AH54" s="54">
        <v>1</v>
      </c>
      <c r="AI54" s="50">
        <f ca="1"/>
        <v>1</v>
      </c>
      <c r="AJ54" s="50">
        <f ca="1"/>
        <v>1</v>
      </c>
      <c r="AK54" s="50">
        <f ca="1"/>
        <v>1</v>
      </c>
      <c r="AL54" s="50">
        <f ca="1"/>
        <v>1</v>
      </c>
      <c r="AM54" s="78">
        <f t="shared" ca="1" si="5"/>
        <v>2.7777777777777776E-2</v>
      </c>
      <c r="AN54" s="78">
        <f t="shared" ca="1" si="6"/>
        <v>2.7777777777777776E-2</v>
      </c>
      <c r="AO54" s="78">
        <f t="shared" ca="1" si="7"/>
        <v>2.7777777777777776E-2</v>
      </c>
      <c r="AP54" s="78">
        <f t="shared" ca="1" si="8"/>
        <v>2.7777777777777776E-2</v>
      </c>
    </row>
    <row r="55" spans="2:42" x14ac:dyDescent="0.25">
      <c r="B55" s="50"/>
      <c r="C55" s="50"/>
      <c r="S55" s="50">
        <v>0.92655744433951837</v>
      </c>
      <c r="T55" s="50">
        <v>0.90411291823986761</v>
      </c>
      <c r="U55" s="50">
        <v>1.0309257179564548</v>
      </c>
      <c r="V55" s="50">
        <v>0.87297397899607709</v>
      </c>
      <c r="W55" s="50">
        <v>0.77547326987304011</v>
      </c>
      <c r="X55" s="50">
        <v>0.77547326987304011</v>
      </c>
      <c r="Y55" s="50">
        <v>0.92614212456727874</v>
      </c>
      <c r="Z55" s="50">
        <v>0.92614212456727874</v>
      </c>
      <c r="AI55" s="50">
        <f ca="1">SUM(AI4:AI54)</f>
        <v>36</v>
      </c>
      <c r="AJ55" s="50">
        <f ca="1">SUM(AJ4:AJ54)</f>
        <v>36</v>
      </c>
      <c r="AK55" s="50">
        <f ca="1">SUM(AK4:AK54)</f>
        <v>36</v>
      </c>
      <c r="AL55" s="50">
        <f ca="1">SUM(AL4:AL54)</f>
        <v>36</v>
      </c>
      <c r="AM55" s="50"/>
      <c r="AN55" s="50"/>
      <c r="AO55" s="50"/>
      <c r="AP55" s="50"/>
    </row>
    <row r="56" spans="2:42" x14ac:dyDescent="0.25">
      <c r="S56" s="50">
        <v>0.95729997444138515</v>
      </c>
      <c r="T56" s="50">
        <v>0.94363307575424615</v>
      </c>
      <c r="U56" s="50">
        <v>0.98127530629422921</v>
      </c>
      <c r="V56" s="50">
        <v>1.0211833473650018</v>
      </c>
      <c r="W56" s="50">
        <v>0.58698336918286398</v>
      </c>
      <c r="X56" s="50">
        <v>0.58698336918286398</v>
      </c>
      <c r="Y56" s="50">
        <v>0.98410856954644432</v>
      </c>
      <c r="Z56" s="50">
        <v>0.98410856954644432</v>
      </c>
    </row>
    <row r="57" spans="2:42" x14ac:dyDescent="0.25">
      <c r="S57" s="50">
        <v>2.0842239300307295E-2</v>
      </c>
      <c r="T57" s="50">
        <v>1.5656109468052775E-2</v>
      </c>
      <c r="U57" s="50" t="s">
        <v>176</v>
      </c>
      <c r="V57" s="50" t="s">
        <v>176</v>
      </c>
      <c r="W57" s="50">
        <v>0.71622669121688443</v>
      </c>
      <c r="X57" s="50">
        <v>0.71622669121688443</v>
      </c>
      <c r="Y57" s="50">
        <v>0.87087935397531102</v>
      </c>
      <c r="Z57" s="50">
        <v>0.87087935397531102</v>
      </c>
    </row>
    <row r="58" spans="2:42" x14ac:dyDescent="0.25">
      <c r="S58" s="50">
        <v>0.93121519190142676</v>
      </c>
      <c r="T58" s="50">
        <v>0.90998797885367599</v>
      </c>
      <c r="U58" s="50">
        <v>1.0159982899675604</v>
      </c>
      <c r="V58" s="50">
        <v>0.92216531775272204</v>
      </c>
      <c r="W58" s="50">
        <v>0.59365107121057792</v>
      </c>
      <c r="X58" s="50">
        <v>0.59365107121057792</v>
      </c>
      <c r="Y58" s="50">
        <v>0.93297897068137781</v>
      </c>
      <c r="Z58" s="50">
        <v>0.93297897068137781</v>
      </c>
    </row>
    <row r="60" spans="2:42" x14ac:dyDescent="0.25">
      <c r="S60" s="50">
        <v>0.94879473441187101</v>
      </c>
      <c r="T60" s="50">
        <v>0.93267941070354332</v>
      </c>
      <c r="U60" s="50">
        <v>0.93863874177101314</v>
      </c>
      <c r="V60" s="50">
        <v>0.86944007949160651</v>
      </c>
      <c r="W60" s="50">
        <v>0.94317161603680055</v>
      </c>
      <c r="X60" s="50">
        <v>0.94317161603680055</v>
      </c>
      <c r="Y60" s="50">
        <v>0.95314044725270519</v>
      </c>
      <c r="Z60" s="50">
        <v>0.95314044725270519</v>
      </c>
    </row>
    <row r="62" spans="2:42" x14ac:dyDescent="0.25">
      <c r="S62" s="50">
        <v>0.89703695326346156</v>
      </c>
      <c r="T62" s="50">
        <v>0.86690869173638818</v>
      </c>
      <c r="U62" s="50">
        <v>0.76179398892291827</v>
      </c>
      <c r="V62" s="50">
        <v>0.82201895320819873</v>
      </c>
      <c r="W62" s="50">
        <v>0.90871840743152421</v>
      </c>
      <c r="X62" s="50">
        <v>0.90871840743152421</v>
      </c>
      <c r="Y62" s="50">
        <v>0.90762409214767759</v>
      </c>
      <c r="Z62" s="50">
        <v>0.90762409214767759</v>
      </c>
    </row>
    <row r="64" spans="2:42" x14ac:dyDescent="0.25">
      <c r="S64" s="50">
        <v>0.93452224962649189</v>
      </c>
      <c r="T64" s="50">
        <v>0.91427283153406991</v>
      </c>
      <c r="U64" s="50">
        <v>0.81025761119124373</v>
      </c>
      <c r="V64" s="50">
        <v>0.94846070986075426</v>
      </c>
      <c r="W64" s="50">
        <v>0.72574574365390454</v>
      </c>
      <c r="X64" s="50">
        <v>0.72574574365390454</v>
      </c>
      <c r="Y64" s="50">
        <v>0.93467893218619003</v>
      </c>
      <c r="Z64" s="50">
        <v>0.93467893218619003</v>
      </c>
    </row>
    <row r="66" spans="19:26" x14ac:dyDescent="0.25">
      <c r="S66" s="50">
        <v>0.92755976168033871</v>
      </c>
      <c r="T66" s="50">
        <v>0.90529997541336649</v>
      </c>
      <c r="U66" s="50">
        <v>0.99816900421364385</v>
      </c>
      <c r="V66" s="50">
        <v>1.055032525909041</v>
      </c>
      <c r="W66" s="50">
        <v>0.56099460053057326</v>
      </c>
      <c r="X66" s="50">
        <v>0.56099460053057326</v>
      </c>
      <c r="Y66" s="50">
        <v>0.92979034255968884</v>
      </c>
      <c r="Z66" s="50">
        <v>0.92979034255968884</v>
      </c>
    </row>
    <row r="69" spans="19:26" x14ac:dyDescent="0.25">
      <c r="S69" s="50">
        <v>0.91964543872011772</v>
      </c>
      <c r="T69" s="50">
        <v>0.89536032123077303</v>
      </c>
      <c r="U69" s="50">
        <v>0.8369649536078424</v>
      </c>
      <c r="V69" s="50">
        <v>0.74075761943737295</v>
      </c>
      <c r="W69" s="50">
        <v>0.90549265573277526</v>
      </c>
      <c r="X69" s="50">
        <v>0.90549265573277526</v>
      </c>
      <c r="Y69" s="50">
        <v>0.91991801205217882</v>
      </c>
      <c r="Z69" s="50">
        <v>0.91991801205217882</v>
      </c>
    </row>
    <row r="70" spans="19:26" x14ac:dyDescent="0.25">
      <c r="S70" s="50">
        <v>0.93209837795649875</v>
      </c>
      <c r="T70" s="50">
        <v>0.9112264612621197</v>
      </c>
      <c r="U70" s="50">
        <v>0.88867129855946492</v>
      </c>
      <c r="V70" s="50">
        <v>1.0232559979585274</v>
      </c>
      <c r="W70" s="50">
        <v>0.98357064576072217</v>
      </c>
      <c r="X70" s="50">
        <v>0.98357064576072217</v>
      </c>
      <c r="Y70" s="50">
        <v>0.9300212082023499</v>
      </c>
      <c r="Z70" s="50">
        <v>0.9300212082023499</v>
      </c>
    </row>
    <row r="71" spans="19:26" x14ac:dyDescent="0.25">
      <c r="S71" s="50">
        <v>0.7052105812100451</v>
      </c>
      <c r="T71" s="50">
        <v>0.6413819530658752</v>
      </c>
      <c r="U71" s="50">
        <v>0.59482416471913546</v>
      </c>
      <c r="V71" s="50">
        <v>0.78930813630845553</v>
      </c>
      <c r="W71" s="50">
        <v>0.89159883242019344</v>
      </c>
      <c r="X71" s="50">
        <v>0.89159883242019344</v>
      </c>
      <c r="Y71" s="50">
        <v>0.88057525349984034</v>
      </c>
      <c r="Z71" s="50">
        <v>0.88057525349984034</v>
      </c>
    </row>
    <row r="72" spans="19:26" x14ac:dyDescent="0.25">
      <c r="S72" s="50">
        <v>0.91328141943822116</v>
      </c>
      <c r="T72" s="50">
        <v>0.88727169789132432</v>
      </c>
      <c r="U72" s="50">
        <v>0.72165805496358548</v>
      </c>
      <c r="V72" s="50">
        <v>0.77756328926454832</v>
      </c>
      <c r="W72" s="50">
        <v>0.77071899683218548</v>
      </c>
      <c r="X72" s="50">
        <v>0.77071899683218548</v>
      </c>
      <c r="Y72" s="50">
        <v>0.91637832773202388</v>
      </c>
      <c r="Z72" s="50">
        <v>0.91637832773202388</v>
      </c>
    </row>
  </sheetData>
  <mergeCells count="63">
    <mergeCell ref="AH2:AL2"/>
    <mergeCell ref="U20:V20"/>
    <mergeCell ref="S18:Z18"/>
    <mergeCell ref="W20:Z20"/>
    <mergeCell ref="S20:T20"/>
    <mergeCell ref="S2:AA2"/>
    <mergeCell ref="S8:Z8"/>
    <mergeCell ref="AC1:AF1"/>
    <mergeCell ref="J16:M16"/>
    <mergeCell ref="K7:P14"/>
    <mergeCell ref="K6:P6"/>
    <mergeCell ref="N2:P2"/>
    <mergeCell ref="O25:P25"/>
    <mergeCell ref="B18:B19"/>
    <mergeCell ref="J17:K17"/>
    <mergeCell ref="L17:M17"/>
    <mergeCell ref="J18:J19"/>
    <mergeCell ref="G18:G19"/>
    <mergeCell ref="J22:J23"/>
    <mergeCell ref="L22:L23"/>
    <mergeCell ref="C22:C23"/>
    <mergeCell ref="E22:E23"/>
    <mergeCell ref="J20:J21"/>
    <mergeCell ref="B22:B23"/>
    <mergeCell ref="O17:P17"/>
    <mergeCell ref="B49:P49"/>
    <mergeCell ref="C31:G31"/>
    <mergeCell ref="K31:N31"/>
    <mergeCell ref="P29:P30"/>
    <mergeCell ref="I29:N29"/>
    <mergeCell ref="C30:G30"/>
    <mergeCell ref="B48:P48"/>
    <mergeCell ref="J30:N30"/>
    <mergeCell ref="L35:O35"/>
    <mergeCell ref="H35:J35"/>
    <mergeCell ref="B47:P47"/>
    <mergeCell ref="C33:G33"/>
    <mergeCell ref="K33:N33"/>
    <mergeCell ref="P31:P33"/>
    <mergeCell ref="B6:G6"/>
    <mergeCell ref="I22:I23"/>
    <mergeCell ref="I20:I21"/>
    <mergeCell ref="L18:L19"/>
    <mergeCell ref="E18:E19"/>
    <mergeCell ref="I15:P15"/>
    <mergeCell ref="C18:C19"/>
    <mergeCell ref="C17:D17"/>
    <mergeCell ref="E17:F17"/>
    <mergeCell ref="I18:I19"/>
    <mergeCell ref="N20:N21"/>
    <mergeCell ref="E20:E21"/>
    <mergeCell ref="B20:B21"/>
    <mergeCell ref="C16:F16"/>
    <mergeCell ref="B12:C12"/>
    <mergeCell ref="B15:G15"/>
    <mergeCell ref="B13:G13"/>
    <mergeCell ref="C32:G32"/>
    <mergeCell ref="K32:N32"/>
    <mergeCell ref="B29:G29"/>
    <mergeCell ref="N18:N19"/>
    <mergeCell ref="L20:L21"/>
    <mergeCell ref="G20:G21"/>
    <mergeCell ref="C20:C21"/>
  </mergeCells>
  <phoneticPr fontId="3" type="noConversion"/>
  <conditionalFormatting sqref="X22">
    <cfRule type="cellIs" dxfId="11" priority="60" stopIfTrue="1" operator="lessThan">
      <formula>$V$15</formula>
    </cfRule>
  </conditionalFormatting>
  <conditionalFormatting sqref="Z22">
    <cfRule type="cellIs" dxfId="10" priority="61" stopIfTrue="1" operator="lessThan">
      <formula>$Z$15</formula>
    </cfRule>
  </conditionalFormatting>
  <conditionalFormatting sqref="W22 C8 G8 I8 E8">
    <cfRule type="cellIs" dxfId="9" priority="69" stopIfTrue="1" operator="lessThan">
      <formula>$V$14</formula>
    </cfRule>
  </conditionalFormatting>
  <conditionalFormatting sqref="Y22">
    <cfRule type="cellIs" dxfId="8" priority="77" stopIfTrue="1" operator="lessThan">
      <formula>$Z$14</formula>
    </cfRule>
  </conditionalFormatting>
  <conditionalFormatting sqref="C11 E11 G11 I11">
    <cfRule type="cellIs" dxfId="7" priority="4" operator="lessThan">
      <formula>$Z$15</formula>
    </cfRule>
  </conditionalFormatting>
  <conditionalFormatting sqref="C10 E10 G10 I10">
    <cfRule type="cellIs" dxfId="6" priority="3" operator="lessThan">
      <formula>$Z$14</formula>
    </cfRule>
  </conditionalFormatting>
  <conditionalFormatting sqref="C9 E9 G9 I9">
    <cfRule type="cellIs" dxfId="5" priority="2" operator="lessThan">
      <formula>$V$15</formula>
    </cfRule>
  </conditionalFormatting>
  <conditionalFormatting sqref="C8 E8 G8 I8">
    <cfRule type="cellIs" dxfId="4" priority="1" operator="lessThan">
      <formula>$V$14</formula>
    </cfRule>
  </conditionalFormatting>
  <pageMargins left="0.75" right="0.75" top="1" bottom="1" header="0.5" footer="0.5"/>
  <pageSetup orientation="portrait" verticalDpi="12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58" r:id="rId3" name="Button 34">
              <controlPr defaultSize="0" print="0" autoFill="0" autoPict="0" macro="[0]!ThisWorkbook.exp_misc">
                <anchor moveWithCells="1" sizeWithCells="1">
                  <from>
                    <xdr:col>11</xdr:col>
                    <xdr:colOff>355600</xdr:colOff>
                    <xdr:row>11</xdr:row>
                    <xdr:rowOff>139700</xdr:rowOff>
                  </from>
                  <to>
                    <xdr:col>14</xdr:col>
                    <xdr:colOff>431800</xdr:colOff>
                    <xdr:row>13</xdr:row>
                    <xdr:rowOff>101600</xdr:rowOff>
                  </to>
                </anchor>
              </controlPr>
            </control>
          </mc:Choice>
        </mc:AlternateContent>
        <mc:AlternateContent xmlns:mc="http://schemas.openxmlformats.org/markup-compatibility/2006">
          <mc:Choice Requires="x14">
            <control shapeId="1087" r:id="rId4" name="Drop Down 63">
              <controlPr defaultSize="0" autoLine="0" autoPict="0">
                <anchor moveWithCells="1">
                  <from>
                    <xdr:col>4</xdr:col>
                    <xdr:colOff>0</xdr:colOff>
                    <xdr:row>11</xdr:row>
                    <xdr:rowOff>12700</xdr:rowOff>
                  </from>
                  <to>
                    <xdr:col>5</xdr:col>
                    <xdr:colOff>25400</xdr:colOff>
                    <xdr:row>12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1:AZ122"/>
  <sheetViews>
    <sheetView zoomScale="80" zoomScaleNormal="80" workbookViewId="0">
      <selection activeCell="H82" sqref="H82"/>
    </sheetView>
  </sheetViews>
  <sheetFormatPr defaultColWidth="11.453125" defaultRowHeight="12.5" x14ac:dyDescent="0.25"/>
  <cols>
    <col min="1" max="1" width="2.81640625" style="2" customWidth="1"/>
    <col min="2" max="2" width="13.81640625" style="2" customWidth="1"/>
    <col min="3" max="3" width="8" style="2" customWidth="1"/>
    <col min="4" max="4" width="2.453125" style="2" customWidth="1"/>
    <col min="5" max="5" width="7.453125" style="2" customWidth="1"/>
    <col min="6" max="6" width="2.36328125" style="2" customWidth="1"/>
    <col min="7" max="7" width="7" style="2" customWidth="1"/>
    <col min="8" max="8" width="2.6328125" style="2" customWidth="1"/>
    <col min="9" max="9" width="8.81640625" style="2" customWidth="1"/>
    <col min="10" max="10" width="8.453125" style="2" customWidth="1"/>
    <col min="11" max="11" width="7.453125" style="2" bestFit="1" customWidth="1"/>
    <col min="12" max="12" width="7.81640625" style="2" customWidth="1"/>
    <col min="13" max="13" width="8.453125" style="2" customWidth="1"/>
    <col min="14" max="14" width="8.36328125" style="2" customWidth="1"/>
    <col min="15" max="15" width="6.453125" style="2" customWidth="1"/>
    <col min="16" max="16" width="15.36328125" style="2" customWidth="1"/>
    <col min="17" max="17" width="2.453125" style="2" customWidth="1"/>
    <col min="18" max="18" width="2.36328125" style="2" customWidth="1"/>
    <col min="19" max="19" width="6.36328125" style="50" customWidth="1"/>
    <col min="20" max="22" width="7.1796875" style="50" customWidth="1"/>
    <col min="23" max="23" width="6.81640625" style="50" bestFit="1" customWidth="1"/>
    <col min="24" max="24" width="6.36328125" style="50" bestFit="1" customWidth="1"/>
    <col min="25" max="25" width="7" style="50" bestFit="1" customWidth="1"/>
    <col min="26" max="26" width="6.453125" style="50" bestFit="1" customWidth="1"/>
    <col min="27" max="27" width="3.453125" style="2" customWidth="1"/>
    <col min="28" max="28" width="9.36328125" style="2" customWidth="1"/>
    <col min="29" max="29" width="6.453125" style="2" customWidth="1"/>
    <col min="30" max="30" width="8.453125" style="2" customWidth="1"/>
    <col min="31" max="31" width="1.1796875" style="42" customWidth="1"/>
    <col min="32" max="32" width="1.453125" style="42" customWidth="1"/>
    <col min="33" max="33" width="6.453125" style="42" customWidth="1"/>
    <col min="34" max="34" width="6.1796875" style="42" customWidth="1"/>
    <col min="35" max="35" width="1.1796875" style="2" customWidth="1"/>
    <col min="36" max="36" width="11" style="2" customWidth="1"/>
    <col min="37" max="37" width="11.453125" style="2" customWidth="1"/>
    <col min="38" max="38" width="14" style="54" bestFit="1" customWidth="1"/>
    <col min="39" max="39" width="11.453125" style="50" customWidth="1"/>
    <col min="40" max="45" width="11.453125" style="2"/>
    <col min="46" max="49" width="9.1796875" style="131"/>
    <col min="50" max="50" width="0" style="131" hidden="1" customWidth="1"/>
    <col min="51" max="51" width="12.81640625" style="131" hidden="1" customWidth="1"/>
    <col min="52" max="52" width="14.6328125" style="131" customWidth="1"/>
    <col min="53" max="16384" width="11.453125" style="2"/>
  </cols>
  <sheetData>
    <row r="1" spans="2:52" ht="5.25" customHeight="1" x14ac:dyDescent="0.25">
      <c r="AC1" s="289"/>
      <c r="AD1" s="289"/>
      <c r="AE1" s="289"/>
      <c r="AF1" s="289"/>
      <c r="AG1" s="289"/>
      <c r="AH1" s="289"/>
      <c r="AI1" s="289"/>
      <c r="AJ1" s="289"/>
    </row>
    <row r="2" spans="2:52" ht="29.5" thickBot="1" x14ac:dyDescent="0.4">
      <c r="B2" s="75" t="s">
        <v>73</v>
      </c>
      <c r="C2" s="75"/>
      <c r="D2" s="75"/>
      <c r="E2" s="75"/>
      <c r="F2" s="75"/>
      <c r="G2" s="75"/>
      <c r="H2" s="75"/>
      <c r="I2" s="75"/>
      <c r="J2" s="75"/>
      <c r="K2" s="75"/>
      <c r="L2" s="75"/>
      <c r="M2" s="75"/>
      <c r="N2" s="75"/>
      <c r="O2" s="75"/>
      <c r="P2" s="76" t="s">
        <v>74</v>
      </c>
      <c r="Q2" s="1"/>
      <c r="R2" s="1"/>
      <c r="S2" s="207" t="s">
        <v>96</v>
      </c>
      <c r="T2" s="207"/>
      <c r="U2" s="207"/>
      <c r="V2" s="207"/>
      <c r="W2" s="207"/>
      <c r="X2" s="207"/>
      <c r="Y2" s="207"/>
      <c r="Z2" s="207"/>
      <c r="AA2" s="207"/>
      <c r="AB2" s="10"/>
      <c r="AC2" s="52" t="s">
        <v>41</v>
      </c>
      <c r="AD2" s="52" t="s">
        <v>43</v>
      </c>
      <c r="AE2" s="52"/>
      <c r="AF2" s="229" t="s">
        <v>42</v>
      </c>
      <c r="AG2" s="229"/>
      <c r="AH2" s="229"/>
      <c r="AI2" s="51"/>
      <c r="AJ2" s="52" t="s">
        <v>45</v>
      </c>
      <c r="AL2" s="207" t="s">
        <v>55</v>
      </c>
      <c r="AM2" s="207"/>
      <c r="AN2" s="207"/>
      <c r="AO2" s="207"/>
      <c r="AP2" s="207"/>
      <c r="AQ2" s="50"/>
      <c r="AT2" s="202" t="s">
        <v>186</v>
      </c>
      <c r="AU2" s="202" t="s">
        <v>187</v>
      </c>
      <c r="AV2" s="202" t="s">
        <v>188</v>
      </c>
      <c r="AW2" s="202" t="s">
        <v>189</v>
      </c>
      <c r="AX2" s="202" t="s">
        <v>190</v>
      </c>
      <c r="AY2" s="202" t="s">
        <v>191</v>
      </c>
      <c r="AZ2" s="202" t="s">
        <v>192</v>
      </c>
    </row>
    <row r="3" spans="2:52" ht="13.5" thickTop="1" x14ac:dyDescent="0.3">
      <c r="B3" s="19"/>
      <c r="S3" s="50" t="s">
        <v>137</v>
      </c>
      <c r="V3" s="54">
        <f ca="1">IFERROR((J18/J22)/(L18/L22),"")</f>
        <v>1.1229689675970327</v>
      </c>
      <c r="W3" s="50" t="s">
        <v>138</v>
      </c>
      <c r="Z3" s="54">
        <f ca="1">IFERROR((J18/J20)/(L18/L20),"")</f>
        <v>1.1734530325689778</v>
      </c>
      <c r="AA3" s="50"/>
      <c r="AB3" s="50" t="str">
        <f>B8</f>
        <v>Se (Smoke+)</v>
      </c>
      <c r="AC3" s="53">
        <f ca="1">V11</f>
        <v>0.13908245655889834</v>
      </c>
      <c r="AD3" s="117">
        <f ca="1">(AC3*(I8+G8-C8-E8)+(C8+E8))/2</f>
        <v>0.83890824565588984</v>
      </c>
      <c r="AE3" s="4"/>
      <c r="AF3" s="297">
        <f ca="1">IF(AD3&lt;E8,C8+SQRT((E8-C8)*(2*AD3-C8-E8)),IF(AD3&gt;G8,I8-SQRT((I8+G8-2*AD3)*(I8-G8)),AD3))</f>
        <v>0.83729376041094516</v>
      </c>
      <c r="AG3" s="297"/>
      <c r="AH3" s="297"/>
      <c r="AJ3" s="77">
        <f ca="1">AF3</f>
        <v>0.83729376041094516</v>
      </c>
      <c r="AL3" s="52" t="s">
        <v>54</v>
      </c>
      <c r="AM3" s="52" t="str">
        <f>W21</f>
        <v>Se(D+)</v>
      </c>
      <c r="AN3" s="52" t="str">
        <f>X21</f>
        <v>Se(D-)</v>
      </c>
      <c r="AO3" s="52" t="str">
        <f>Y21</f>
        <v>Sp(D+)</v>
      </c>
      <c r="AP3" s="52" t="str">
        <f>Z21</f>
        <v>Sp(D-)</v>
      </c>
      <c r="AQ3" s="50"/>
      <c r="AS3" s="20" t="s">
        <v>196</v>
      </c>
      <c r="AT3" s="203" t="s">
        <v>193</v>
      </c>
      <c r="AU3" s="203">
        <f>IF((C18/C22)/(E18/E22)&gt;0,(C18/C22)/(E18/E22),"")</f>
        <v>0.96538246004000106</v>
      </c>
      <c r="AV3" s="203">
        <f>IF(AU3&gt;0,AU3-EXP(LN((C18/C22)/(E18/E22))-1.96*V4),"")</f>
        <v>0.11300782936665954</v>
      </c>
      <c r="AW3" s="203">
        <f>IF(AU3&gt;0,EXP(LN((C18/C22)/(E18/E22))+1.96*V4)-AU3,"")</f>
        <v>0.12799040749439616</v>
      </c>
      <c r="AX3" s="203"/>
      <c r="AY3" s="203"/>
      <c r="AZ3" s="203">
        <v>2.5</v>
      </c>
    </row>
    <row r="4" spans="2:52" x14ac:dyDescent="0.25">
      <c r="S4" s="50" t="s">
        <v>3</v>
      </c>
      <c r="V4" s="50">
        <f>IFERROR(SQRT(1/C18-1/C22+1/E18-1/E22),"")</f>
        <v>6.3519498427844295E-2</v>
      </c>
      <c r="W4" s="50" t="s">
        <v>2</v>
      </c>
      <c r="Z4" s="50">
        <f>IFERROR(SQRT(1/C18+1/C20+1/E18+1/E20),"")</f>
        <v>8.4089681755556769E-2</v>
      </c>
      <c r="AA4" s="50"/>
      <c r="AB4" s="50" t="str">
        <f>B9</f>
        <v>Se (Smoke-)</v>
      </c>
      <c r="AC4" s="53">
        <f ca="1">V12</f>
        <v>0.63776069616100262</v>
      </c>
      <c r="AD4" s="119">
        <f ca="1">(AC4*(I9+G9-C9-E9)+(C9+E9))/2</f>
        <v>0.93877606961610027</v>
      </c>
      <c r="AE4" s="4"/>
      <c r="AF4" s="296">
        <f ca="1">IF(AD4&lt;E9,C9+SQRT((E9-C9)*(2*AD4-C9-E9)),IF(AD4&gt;G9,I9-SQRT((I9+G9-2*AD4)*(I9-G9)),AD4))</f>
        <v>0.93877606961610027</v>
      </c>
      <c r="AG4" s="296"/>
      <c r="AH4" s="296"/>
      <c r="AJ4" s="77">
        <f ca="1">IF(E12=1,AF3,AF4)</f>
        <v>0.93877606961610027</v>
      </c>
      <c r="AL4" s="54">
        <v>0</v>
      </c>
      <c r="AM4" s="50">
        <f t="array" ref="AM4:AM54">FREQUENCY(W23:W50000,AL4:AL54)</f>
        <v>0</v>
      </c>
      <c r="AN4" s="50">
        <f t="array" ref="AN4:AN54">FREQUENCY(X23:X50000,AL4:AL54)</f>
        <v>0</v>
      </c>
      <c r="AO4" s="50">
        <f t="array" ref="AO4:AO54">FREQUENCY(Y23:Y50000,AL4:AL54)</f>
        <v>0</v>
      </c>
      <c r="AP4" s="50">
        <f t="array" ref="AP4:AP54">FREQUENCY(Z23:Z50000,AL4:AL54)</f>
        <v>0</v>
      </c>
      <c r="AS4" s="20" t="s">
        <v>197</v>
      </c>
      <c r="AT4" s="203" t="s">
        <v>194</v>
      </c>
      <c r="AU4" s="203">
        <f>IF(S23&lt;&gt;"",PERCENTILE(S23:S50014,0.5),"")</f>
        <v>1.5847220714194028</v>
      </c>
      <c r="AV4" s="203">
        <f>IF(S23&lt;&gt;"",AU4-PERCENTILE(S23:S50014,0.025),"")</f>
        <v>0.54386138988208121</v>
      </c>
      <c r="AW4" s="203">
        <f>IF(S23&lt;&gt;"",PERCENTILE(S23:S50014,0.975)-AU4,"")</f>
        <v>16.282627197882906</v>
      </c>
      <c r="AX4" s="203"/>
      <c r="AY4" s="203"/>
      <c r="AZ4" s="203">
        <v>1.5</v>
      </c>
    </row>
    <row r="5" spans="2:52" x14ac:dyDescent="0.25">
      <c r="S5" s="50" t="s">
        <v>140</v>
      </c>
      <c r="V5" s="50">
        <f ca="1">IFERROR(SQRT(1/J18-1/J22+1/L18-1/L22),"")</f>
        <v>5.7062027836682745E-2</v>
      </c>
      <c r="W5" s="50" t="s">
        <v>139</v>
      </c>
      <c r="Z5" s="50">
        <f ca="1">IFERROR(SQRT(1/J18+1/L18+1/J20+1/L20),"")</f>
        <v>7.9969048708814577E-2</v>
      </c>
      <c r="AA5" s="50"/>
      <c r="AB5" s="50" t="str">
        <f>B10</f>
        <v>Sp (Smoke+)</v>
      </c>
      <c r="AC5" s="53">
        <f ca="1">Z11</f>
        <v>0.76058840968731845</v>
      </c>
      <c r="AD5" s="119">
        <f ca="1">(AC5*(I10+G10-C10-E10)+(C10+E10))/2</f>
        <v>0.99260588409687323</v>
      </c>
      <c r="AE5" s="4"/>
      <c r="AF5" s="296">
        <f ca="1">IF(AD5&lt;E10,C10+SQRT((E10-C10)*(2*AD5-C10-E10)),IF(AD5&gt;G10,I10-SQRT((I10+G10-2*AD5)*(I10-G10)),AD5))</f>
        <v>0.99308029494396366</v>
      </c>
      <c r="AG5" s="296"/>
      <c r="AH5" s="296"/>
      <c r="AJ5" s="77">
        <f ca="1">AF5</f>
        <v>0.99308029494396366</v>
      </c>
      <c r="AL5" s="54">
        <f t="shared" ref="AL5:AL36" si="0">AL4+0.02</f>
        <v>0.02</v>
      </c>
      <c r="AM5" s="50">
        <v>0</v>
      </c>
      <c r="AN5" s="50">
        <v>0</v>
      </c>
      <c r="AO5" s="50">
        <v>0</v>
      </c>
      <c r="AP5" s="50">
        <v>0</v>
      </c>
      <c r="AT5" s="203" t="s">
        <v>67</v>
      </c>
      <c r="AU5" s="203">
        <f>IF(S23&lt;&gt;"",PERCENTILE(U23:U50014,0.5),"")</f>
        <v>1.5938228467554276</v>
      </c>
      <c r="AV5" s="203">
        <f>IF(S23&lt;&gt;"",AU5-PERCENTILE(U23:U50014,0.025),"")</f>
        <v>0.60118245286575889</v>
      </c>
      <c r="AW5" s="203">
        <f>IF(S23&lt;&gt;"",PERCENTILE(U23:U50014,0.975)-AU5,"")</f>
        <v>15.791648230907329</v>
      </c>
      <c r="AX5" s="203"/>
      <c r="AY5" s="203"/>
      <c r="AZ5" s="203">
        <v>0.5</v>
      </c>
    </row>
    <row r="6" spans="2:52" ht="12.75" customHeight="1" x14ac:dyDescent="0.3">
      <c r="B6" s="208" t="s">
        <v>7</v>
      </c>
      <c r="C6" s="208"/>
      <c r="D6" s="208"/>
      <c r="E6" s="208"/>
      <c r="F6" s="208"/>
      <c r="G6" s="208"/>
      <c r="H6" s="21"/>
      <c r="I6" s="21"/>
      <c r="J6" s="118" t="s">
        <v>83</v>
      </c>
      <c r="K6" s="209" t="s">
        <v>5</v>
      </c>
      <c r="L6" s="209"/>
      <c r="M6" s="209"/>
      <c r="N6" s="209"/>
      <c r="O6" s="209"/>
      <c r="P6" s="209"/>
      <c r="Q6" s="1"/>
      <c r="R6" s="1"/>
      <c r="S6" s="50" t="s">
        <v>94</v>
      </c>
      <c r="V6" s="77">
        <f ca="1">IFERROR(EXP(LN(V3)-V5*NORMINV(RAND(),0,1)),"")</f>
        <v>1.1373512619561856</v>
      </c>
      <c r="W6" s="50" t="s">
        <v>95</v>
      </c>
      <c r="Z6" s="50">
        <f ca="1">IFERROR(EXP(LN(Z3)-Z5*NORMINV(RAND(),0,1)),"")</f>
        <v>1.3432646722387409</v>
      </c>
      <c r="AB6" s="50" t="str">
        <f>B11</f>
        <v>Sp (Smoke-)</v>
      </c>
      <c r="AC6" s="53">
        <f ca="1">Z12</f>
        <v>0.55985282094096189</v>
      </c>
      <c r="AD6" s="119">
        <f ca="1">(AC6*(I11+G11-C11-E11)+(C11+E11))/2</f>
        <v>0.98619705641881927</v>
      </c>
      <c r="AE6" s="4"/>
      <c r="AF6" s="296">
        <f ca="1">IF(AD6&lt;E11,C11+SQRT((E11-C11)*(2*AD6-C11-E11)),IF(AD6&gt;G11,I11-SQRT((I11+G11-2*AD6)*(I11-G11)),AD6))</f>
        <v>0.98619705641881927</v>
      </c>
      <c r="AG6" s="296"/>
      <c r="AH6" s="296"/>
      <c r="AJ6" s="77">
        <f ca="1">IF(E12=1,AF5,AF6)</f>
        <v>0.98619705641881927</v>
      </c>
      <c r="AL6" s="54">
        <f t="shared" si="0"/>
        <v>0.04</v>
      </c>
      <c r="AM6" s="50">
        <v>0</v>
      </c>
      <c r="AN6" s="50">
        <v>0</v>
      </c>
      <c r="AO6" s="50">
        <v>0</v>
      </c>
      <c r="AP6" s="50">
        <v>0</v>
      </c>
    </row>
    <row r="7" spans="2:52" ht="15.75" customHeight="1" x14ac:dyDescent="0.3">
      <c r="C7" s="9" t="s">
        <v>37</v>
      </c>
      <c r="D7" s="61"/>
      <c r="E7" s="9" t="s">
        <v>38</v>
      </c>
      <c r="F7" s="1"/>
      <c r="G7" s="9" t="s">
        <v>40</v>
      </c>
      <c r="H7" s="22"/>
      <c r="I7" s="46" t="s">
        <v>39</v>
      </c>
      <c r="J7" s="80" t="str">
        <f>IF(C8&lt;=E8,IF(E8&lt;=G8,IF(G8&lt;=I8,"No error","Error"),"Error"),"Error")</f>
        <v>No error</v>
      </c>
      <c r="K7" s="290"/>
      <c r="L7" s="290"/>
      <c r="M7" s="290"/>
      <c r="N7" s="290"/>
      <c r="O7" s="290"/>
      <c r="P7" s="290"/>
      <c r="Q7" s="22"/>
      <c r="R7" s="22"/>
      <c r="S7" s="50" t="s">
        <v>136</v>
      </c>
      <c r="V7" s="50" t="b">
        <f ca="1">OR(AJ18&lt;=0,AJ20&lt;=0,AJ19&lt;=0,AJ21&lt;=0)</f>
        <v>0</v>
      </c>
      <c r="AE7" s="2"/>
      <c r="AF7" s="2"/>
      <c r="AG7" s="2"/>
      <c r="AI7" s="42"/>
      <c r="AJ7" s="42"/>
      <c r="AK7" s="42"/>
      <c r="AL7" s="54">
        <f t="shared" si="0"/>
        <v>0.06</v>
      </c>
      <c r="AM7" s="50">
        <v>0</v>
      </c>
      <c r="AN7" s="50">
        <v>0</v>
      </c>
      <c r="AO7" s="50">
        <v>0</v>
      </c>
      <c r="AP7" s="50">
        <v>0</v>
      </c>
    </row>
    <row r="8" spans="2:52" ht="15" customHeight="1" x14ac:dyDescent="0.35">
      <c r="B8" s="24" t="str">
        <f>CONCATENATE("Se (",IF(C14="","E+",CONCATENATE(C14,"+")),")")</f>
        <v>Se (Smoke+)</v>
      </c>
      <c r="C8" s="47">
        <v>0.8</v>
      </c>
      <c r="E8" s="47">
        <v>0.85</v>
      </c>
      <c r="G8" s="47">
        <v>0.9</v>
      </c>
      <c r="I8" s="47">
        <v>0.95</v>
      </c>
      <c r="J8" s="1" t="s">
        <v>98</v>
      </c>
      <c r="K8" s="291"/>
      <c r="L8" s="291"/>
      <c r="M8" s="291"/>
      <c r="N8" s="291"/>
      <c r="O8" s="291"/>
      <c r="P8" s="291"/>
      <c r="Q8" s="22"/>
      <c r="R8" s="22"/>
      <c r="S8" s="207" t="s">
        <v>100</v>
      </c>
      <c r="T8" s="207"/>
      <c r="U8" s="207"/>
      <c r="V8" s="207"/>
      <c r="W8" s="207"/>
      <c r="X8" s="207"/>
      <c r="Y8" s="207"/>
      <c r="Z8" s="207"/>
      <c r="AE8" s="111"/>
      <c r="AF8" s="50"/>
      <c r="AG8" s="50"/>
      <c r="AL8" s="54">
        <f t="shared" si="0"/>
        <v>0.08</v>
      </c>
      <c r="AM8" s="50">
        <v>0</v>
      </c>
      <c r="AN8" s="50">
        <v>0</v>
      </c>
      <c r="AO8" s="50">
        <v>0</v>
      </c>
      <c r="AP8" s="50">
        <v>0</v>
      </c>
      <c r="AT8" s="202" t="s">
        <v>186</v>
      </c>
      <c r="AU8" s="202" t="s">
        <v>187</v>
      </c>
      <c r="AV8" s="202" t="s">
        <v>188</v>
      </c>
      <c r="AW8" s="202" t="s">
        <v>189</v>
      </c>
      <c r="AX8" s="202" t="s">
        <v>190</v>
      </c>
      <c r="AY8" s="202" t="s">
        <v>191</v>
      </c>
      <c r="AZ8" s="202" t="s">
        <v>192</v>
      </c>
    </row>
    <row r="9" spans="2:52" ht="13" x14ac:dyDescent="0.3">
      <c r="B9" s="24" t="str">
        <f>CONCATENATE("Se (",IF(C14="","E-",CONCATENATE(C14,"-")),")")</f>
        <v>Se (Smoke-)</v>
      </c>
      <c r="C9" s="26">
        <v>0.85</v>
      </c>
      <c r="E9" s="26">
        <v>0.9</v>
      </c>
      <c r="G9" s="26">
        <v>0.95</v>
      </c>
      <c r="I9" s="26">
        <v>1</v>
      </c>
      <c r="J9" s="26">
        <v>0.8</v>
      </c>
      <c r="K9" s="291"/>
      <c r="L9" s="291"/>
      <c r="M9" s="291"/>
      <c r="N9" s="291"/>
      <c r="O9" s="291"/>
      <c r="P9" s="291"/>
      <c r="S9" s="50" t="s">
        <v>127</v>
      </c>
      <c r="V9" s="50">
        <f ca="1">NORMINV(RAND(),0,1)</f>
        <v>-1.0844509288629567</v>
      </c>
      <c r="W9" s="50" t="s">
        <v>127</v>
      </c>
      <c r="Z9" s="50">
        <f ca="1">NORMINV(RAND(),0,1)</f>
        <v>0.7081965946025236</v>
      </c>
      <c r="AE9" s="20"/>
      <c r="AF9" s="20"/>
      <c r="AG9" s="50" t="s">
        <v>174</v>
      </c>
      <c r="AI9" s="50"/>
      <c r="AJ9" s="50">
        <f ca="1">IFERROR(J18/J22,"")</f>
        <v>0.29105322763306907</v>
      </c>
      <c r="AL9" s="54">
        <f t="shared" si="0"/>
        <v>0.1</v>
      </c>
      <c r="AM9" s="50">
        <v>0</v>
      </c>
      <c r="AN9" s="50">
        <v>0</v>
      </c>
      <c r="AO9" s="50">
        <v>0</v>
      </c>
      <c r="AP9" s="50">
        <v>0</v>
      </c>
      <c r="AT9" s="203" t="s">
        <v>193</v>
      </c>
      <c r="AU9" s="203">
        <f>IF((C18/C20)/(E18/E20)&gt;0,(C18/C20)/(E18/E20),"")</f>
        <v>0.95424058714868398</v>
      </c>
      <c r="AV9" s="203">
        <f>IF(AU9&lt;&gt;"",AU9-EXP(LN((C18/C20)/(E18/E20))-1.96*Z4),"")</f>
        <v>0.14499693294351768</v>
      </c>
      <c r="AW9" s="203">
        <f>IF(AU9&lt;&gt;"",EXP(LN((C18/C20)/(E18/E20))+1.96*Z4)-AU9,"")</f>
        <v>0.17097688404202416</v>
      </c>
      <c r="AX9" s="203"/>
      <c r="AY9" s="203"/>
      <c r="AZ9" s="203">
        <v>2.5</v>
      </c>
    </row>
    <row r="10" spans="2:52" ht="13" x14ac:dyDescent="0.3">
      <c r="B10" s="24" t="str">
        <f>CONCATENATE("Sp (",IF(C14="","E+",CONCATENATE(C14,"+")),")")</f>
        <v>Sp (Smoke+)</v>
      </c>
      <c r="C10" s="26">
        <v>0.98</v>
      </c>
      <c r="E10" s="26">
        <v>0.99</v>
      </c>
      <c r="G10" s="26">
        <v>0.99</v>
      </c>
      <c r="I10" s="26">
        <v>1</v>
      </c>
      <c r="J10" s="1" t="s">
        <v>99</v>
      </c>
      <c r="K10" s="291"/>
      <c r="L10" s="291"/>
      <c r="M10" s="291"/>
      <c r="N10" s="291"/>
      <c r="O10" s="291"/>
      <c r="P10" s="291"/>
      <c r="S10" s="50" t="s">
        <v>128</v>
      </c>
      <c r="T10" s="131"/>
      <c r="V10" s="50">
        <f ca="1">IF(J9&lt;1,NORMINV(RAND(),$J$9*V9,SQRT(1-J9^2)),V9)</f>
        <v>0.35247960961728597</v>
      </c>
      <c r="W10" s="50" t="s">
        <v>128</v>
      </c>
      <c r="X10" s="131"/>
      <c r="Z10" s="50">
        <f ca="1">IF(J11&lt;1,NORMINV(RAND(),$J$11*Z9,SQRT(1-J11^2)),Z9)</f>
        <v>0.1505960745670018</v>
      </c>
      <c r="AE10" s="20"/>
      <c r="AF10" s="20"/>
      <c r="AG10" s="50" t="s">
        <v>175</v>
      </c>
      <c r="AI10" s="50"/>
      <c r="AJ10" s="50">
        <f ca="1">IFERROR(L18/L22,"")</f>
        <v>0.25918189730200175</v>
      </c>
      <c r="AL10" s="54">
        <f t="shared" si="0"/>
        <v>0.12000000000000001</v>
      </c>
      <c r="AM10" s="50">
        <v>0</v>
      </c>
      <c r="AN10" s="50">
        <v>0</v>
      </c>
      <c r="AO10" s="50">
        <v>0</v>
      </c>
      <c r="AP10" s="50">
        <v>0</v>
      </c>
      <c r="AT10" s="203" t="s">
        <v>194</v>
      </c>
      <c r="AU10" s="203">
        <f>IF(T23&lt;&gt;"",PERCENTILE(T23:T50014,0.5),"")</f>
        <v>1.8114628464713531</v>
      </c>
      <c r="AV10" s="203">
        <f>IF(T23&lt;&gt;"",AU10-PERCENTILE(T23:T50014,0.025),"")</f>
        <v>0.75499890979208195</v>
      </c>
      <c r="AW10" s="203">
        <f>IF(T23&lt;&gt;"",PERCENTILE(T23:T50014,0.975)-AU10,"")</f>
        <v>22.165524321490235</v>
      </c>
      <c r="AX10" s="203"/>
      <c r="AY10" s="203"/>
      <c r="AZ10" s="203">
        <v>1.5</v>
      </c>
    </row>
    <row r="11" spans="2:52" ht="13" x14ac:dyDescent="0.3">
      <c r="B11" s="24" t="str">
        <f>CONCATENATE("Sp (",IF(C14="","E-",CONCATENATE(C14,"-")),")")</f>
        <v>Sp (Smoke-)</v>
      </c>
      <c r="C11" s="26">
        <v>0.97</v>
      </c>
      <c r="E11" s="26">
        <v>0.98</v>
      </c>
      <c r="G11" s="26">
        <v>0.99</v>
      </c>
      <c r="I11" s="26">
        <v>1</v>
      </c>
      <c r="J11" s="26">
        <v>0.8</v>
      </c>
      <c r="K11" s="291"/>
      <c r="L11" s="291"/>
      <c r="M11" s="291"/>
      <c r="N11" s="291"/>
      <c r="O11" s="291"/>
      <c r="P11" s="291"/>
      <c r="S11" s="50" t="s">
        <v>129</v>
      </c>
      <c r="T11" s="131"/>
      <c r="V11" s="50">
        <f ca="1">_xlfn.NORM.DIST(V9,0,1,TRUE)</f>
        <v>0.13908245655889834</v>
      </c>
      <c r="W11" s="50" t="s">
        <v>129</v>
      </c>
      <c r="X11" s="131"/>
      <c r="Z11" s="50">
        <f ca="1">_xlfn.NORM.DIST(Z9,0,1,TRUE)</f>
        <v>0.76058840968731845</v>
      </c>
      <c r="AC11" s="131"/>
      <c r="AD11" s="131"/>
      <c r="AG11" s="50" t="s">
        <v>121</v>
      </c>
      <c r="AH11" s="50"/>
      <c r="AI11" s="131"/>
      <c r="AJ11" s="50">
        <f ca="1">IFERROR(_xlfn.BETA.INV(RAND(),AJ18,AJ20),"")</f>
        <v>0.31813919725532736</v>
      </c>
      <c r="AL11" s="54">
        <f t="shared" si="0"/>
        <v>0.14000000000000001</v>
      </c>
      <c r="AM11" s="50">
        <v>0</v>
      </c>
      <c r="AN11" s="50">
        <v>0</v>
      </c>
      <c r="AO11" s="50">
        <v>0</v>
      </c>
      <c r="AP11" s="50">
        <v>0</v>
      </c>
      <c r="AT11" s="203" t="s">
        <v>67</v>
      </c>
      <c r="AU11" s="203">
        <f>IF(V23&lt;&gt;"",PERCENTILE(V23:V50014,0.5),"")</f>
        <v>1.7574388671792702</v>
      </c>
      <c r="AV11" s="203">
        <f>IF(V23&lt;&gt;"",AU11-PERCENTILE(V24:V50015,0.025),"")</f>
        <v>0.7116290452071925</v>
      </c>
      <c r="AW11" s="203">
        <f>IF(V23&lt;&gt;"",PERCENTILE(V23:V50014,0.975)-AU11,"")</f>
        <v>19.791050572219756</v>
      </c>
      <c r="AX11" s="203"/>
      <c r="AY11" s="203"/>
      <c r="AZ11" s="203">
        <v>0.5</v>
      </c>
    </row>
    <row r="12" spans="2:52" ht="18" customHeight="1" x14ac:dyDescent="0.3">
      <c r="B12" s="213" t="s">
        <v>44</v>
      </c>
      <c r="C12" s="213"/>
      <c r="D12" s="27"/>
      <c r="E12" s="26">
        <v>2</v>
      </c>
      <c r="F12" s="1"/>
      <c r="G12" s="1" t="s">
        <v>46</v>
      </c>
      <c r="H12" s="56"/>
      <c r="I12" s="55">
        <v>100</v>
      </c>
      <c r="J12" s="22"/>
      <c r="K12" s="291"/>
      <c r="L12" s="291"/>
      <c r="M12" s="291"/>
      <c r="N12" s="291"/>
      <c r="O12" s="291"/>
      <c r="P12" s="291"/>
      <c r="S12" s="50" t="s">
        <v>130</v>
      </c>
      <c r="T12" s="131"/>
      <c r="V12" s="50">
        <f ca="1">_xlfn.NORM.DIST(V10,0,1,TRUE)</f>
        <v>0.63776069616100262</v>
      </c>
      <c r="W12" s="50" t="s">
        <v>130</v>
      </c>
      <c r="X12" s="131"/>
      <c r="Z12" s="50">
        <f ca="1">_xlfn.NORM.DIST(Z10,0,1,TRUE)</f>
        <v>0.55985282094096189</v>
      </c>
      <c r="AB12" s="131"/>
      <c r="AC12" s="131"/>
      <c r="AD12" s="131"/>
      <c r="AG12" s="50" t="s">
        <v>122</v>
      </c>
      <c r="AH12" s="50"/>
      <c r="AI12" s="131"/>
      <c r="AJ12" s="50">
        <f ca="1">IFERROR(_xlfn.BETA.INV(RAND(),AJ19,AJ21),"")</f>
        <v>0.26634783021295183</v>
      </c>
      <c r="AL12" s="54">
        <f t="shared" si="0"/>
        <v>0.16</v>
      </c>
      <c r="AM12" s="50">
        <v>0</v>
      </c>
      <c r="AN12" s="50">
        <v>0</v>
      </c>
      <c r="AO12" s="50">
        <v>0</v>
      </c>
      <c r="AP12" s="50">
        <v>0</v>
      </c>
    </row>
    <row r="13" spans="2:52" ht="13" x14ac:dyDescent="0.3">
      <c r="B13" s="266" t="s">
        <v>33</v>
      </c>
      <c r="C13" s="266"/>
      <c r="D13" s="266"/>
      <c r="E13" s="266"/>
      <c r="F13" s="266"/>
      <c r="G13" s="266"/>
      <c r="I13" s="22"/>
      <c r="J13" s="22"/>
      <c r="K13" s="291"/>
      <c r="L13" s="291"/>
      <c r="M13" s="291"/>
      <c r="N13" s="291"/>
      <c r="O13" s="291"/>
      <c r="P13" s="291"/>
      <c r="S13" s="9" t="s">
        <v>103</v>
      </c>
      <c r="T13" s="10"/>
      <c r="U13" s="66"/>
      <c r="V13" s="66"/>
      <c r="W13" s="66"/>
      <c r="X13" s="10"/>
      <c r="Y13" s="66"/>
      <c r="Z13" s="66"/>
      <c r="AG13" s="50" t="s">
        <v>178</v>
      </c>
      <c r="AH13" s="50"/>
      <c r="AI13" s="131"/>
      <c r="AJ13" s="50">
        <f ca="1">IFERROR((P18*AJ11)/(P18*AJ11+((1-P20)*(1-AJ11))),"")</f>
        <v>0.98259544121460174</v>
      </c>
      <c r="AL13" s="54">
        <f t="shared" si="0"/>
        <v>0.18</v>
      </c>
      <c r="AM13" s="50">
        <v>0</v>
      </c>
      <c r="AN13" s="50">
        <v>0</v>
      </c>
      <c r="AO13" s="50">
        <v>0</v>
      </c>
      <c r="AP13" s="50">
        <v>0</v>
      </c>
    </row>
    <row r="14" spans="2:52" ht="13" x14ac:dyDescent="0.3">
      <c r="B14" s="1" t="s">
        <v>10</v>
      </c>
      <c r="C14" s="49" t="s">
        <v>77</v>
      </c>
      <c r="D14" s="1" t="s">
        <v>11</v>
      </c>
      <c r="G14" s="25" t="s">
        <v>76</v>
      </c>
      <c r="H14" s="33"/>
      <c r="I14" s="48"/>
      <c r="J14" s="48"/>
      <c r="K14" s="292"/>
      <c r="L14" s="292"/>
      <c r="M14" s="292"/>
      <c r="N14" s="292"/>
      <c r="O14" s="292"/>
      <c r="P14" s="292"/>
      <c r="S14" s="86" t="s">
        <v>104</v>
      </c>
      <c r="U14" s="131"/>
      <c r="V14" s="140">
        <f>C18/C22</f>
        <v>0.2434881087202718</v>
      </c>
      <c r="W14" s="86" t="s">
        <v>106</v>
      </c>
      <c r="Y14" s="131"/>
      <c r="Z14" s="140">
        <f>1-V14</f>
        <v>0.75651189127972818</v>
      </c>
      <c r="AG14" s="50" t="s">
        <v>179</v>
      </c>
      <c r="AH14" s="50"/>
      <c r="AI14" s="131"/>
      <c r="AJ14" s="50">
        <f ca="1">IFERROR((P19*AJ12)/(P19*AJ12+((1-P21)*(1-AJ12))),"")</f>
        <v>0.96107677403804748</v>
      </c>
      <c r="AL14" s="54">
        <f t="shared" si="0"/>
        <v>0.19999999999999998</v>
      </c>
      <c r="AM14" s="50">
        <v>0</v>
      </c>
      <c r="AN14" s="50">
        <v>0</v>
      </c>
      <c r="AO14" s="50">
        <v>0</v>
      </c>
      <c r="AP14" s="50">
        <v>0</v>
      </c>
    </row>
    <row r="15" spans="2:52" ht="13" x14ac:dyDescent="0.3">
      <c r="B15" s="218" t="str">
        <f>IF(C14&lt;&gt;"",IF(G14&lt;&gt;"",CONCATENATE("Data (Enter ",C14,"-",G14," Data in Blue Cells)"),"Data (Enter Crude Data in Blue Cells)"),"Data (Enter Crude Data in Blue Cells)")</f>
        <v>Data (Enter Smoke-BC Data in Blue Cells)</v>
      </c>
      <c r="C15" s="218"/>
      <c r="D15" s="218"/>
      <c r="E15" s="218"/>
      <c r="F15" s="218"/>
      <c r="G15" s="218"/>
      <c r="H15" s="45"/>
      <c r="I15" s="276" t="s">
        <v>163</v>
      </c>
      <c r="J15" s="276"/>
      <c r="K15" s="276"/>
      <c r="L15" s="276"/>
      <c r="M15" s="276"/>
      <c r="N15" s="276"/>
      <c r="O15" s="276"/>
      <c r="P15" s="276"/>
      <c r="S15" s="86" t="s">
        <v>105</v>
      </c>
      <c r="U15" s="131"/>
      <c r="V15" s="121">
        <f>E18/E22</f>
        <v>0.25221932114882506</v>
      </c>
      <c r="W15" s="86" t="s">
        <v>107</v>
      </c>
      <c r="Y15" s="131"/>
      <c r="Z15" s="121">
        <f>1-V15</f>
        <v>0.74778067885117494</v>
      </c>
      <c r="AG15" s="50" t="s">
        <v>180</v>
      </c>
      <c r="AH15" s="50"/>
      <c r="AI15" s="131"/>
      <c r="AJ15" s="50">
        <f ca="1">IFERROR((P20*(1-AJ11))/((1-P18)*AJ11+P20*(1-AJ11)),"")</f>
        <v>0.92898501380599496</v>
      </c>
      <c r="AL15" s="54">
        <f t="shared" si="0"/>
        <v>0.21999999999999997</v>
      </c>
      <c r="AM15" s="50">
        <v>0</v>
      </c>
      <c r="AN15" s="50">
        <v>0</v>
      </c>
      <c r="AO15" s="50">
        <v>0</v>
      </c>
      <c r="AP15" s="50">
        <v>0</v>
      </c>
    </row>
    <row r="16" spans="2:52" ht="13.5" thickBot="1" x14ac:dyDescent="0.35">
      <c r="B16" s="4"/>
      <c r="C16" s="219" t="s">
        <v>34</v>
      </c>
      <c r="D16" s="219" t="s">
        <v>1</v>
      </c>
      <c r="E16" s="219"/>
      <c r="F16" s="219"/>
      <c r="G16" s="39"/>
      <c r="I16" s="4"/>
      <c r="J16" s="219" t="s">
        <v>162</v>
      </c>
      <c r="K16" s="219"/>
      <c r="L16" s="219"/>
      <c r="M16" s="219"/>
      <c r="N16" s="40"/>
      <c r="P16" s="20">
        <f ca="1">IF(J18&gt;0,IF(J20&gt;0,IF(L18&gt;0,IF(L20&gt;0,0,1),1),1),1)</f>
        <v>0</v>
      </c>
      <c r="S16" s="9" t="s">
        <v>141</v>
      </c>
      <c r="T16" s="10"/>
      <c r="U16" s="66"/>
      <c r="V16" s="66"/>
      <c r="W16" s="66"/>
      <c r="X16" s="10"/>
      <c r="Y16" s="66"/>
      <c r="Z16" s="66"/>
      <c r="AG16" s="50" t="s">
        <v>181</v>
      </c>
      <c r="AH16" s="50"/>
      <c r="AI16" s="131"/>
      <c r="AJ16" s="50">
        <f ca="1">IFERROR((P21*(1-AJ12))/((1-P19 )*AJ12+P21*(1-AJ12)),"")</f>
        <v>0.97795871140079005</v>
      </c>
      <c r="AL16" s="54">
        <f t="shared" si="0"/>
        <v>0.23999999999999996</v>
      </c>
      <c r="AM16" s="50">
        <v>0</v>
      </c>
      <c r="AN16" s="50">
        <v>0</v>
      </c>
      <c r="AO16" s="50">
        <v>0</v>
      </c>
      <c r="AP16" s="50">
        <v>0</v>
      </c>
    </row>
    <row r="17" spans="2:42" ht="13.5" thickBot="1" x14ac:dyDescent="0.35">
      <c r="B17" s="6"/>
      <c r="C17" s="220" t="str">
        <f>IF(C14&lt;&gt;"",CONCATENATE(C14," +"),"E+")</f>
        <v>Smoke +</v>
      </c>
      <c r="D17" s="220" t="s">
        <v>0</v>
      </c>
      <c r="E17" s="220" t="str">
        <f>IF(C14&lt;&gt;"",CONCATENATE(C14," -"),"E-")</f>
        <v>Smoke -</v>
      </c>
      <c r="F17" s="220" t="s">
        <v>0</v>
      </c>
      <c r="G17" s="29" t="s">
        <v>1</v>
      </c>
      <c r="I17" s="6"/>
      <c r="J17" s="220" t="str">
        <f>C17</f>
        <v>Smoke +</v>
      </c>
      <c r="K17" s="220" t="s">
        <v>0</v>
      </c>
      <c r="L17" s="220" t="str">
        <f>E17</f>
        <v>Smoke -</v>
      </c>
      <c r="M17" s="220" t="s">
        <v>0</v>
      </c>
      <c r="N17" s="41" t="str">
        <f>G17</f>
        <v>Total</v>
      </c>
      <c r="O17" s="288" t="s">
        <v>82</v>
      </c>
      <c r="P17" s="288"/>
      <c r="S17" s="86" t="s">
        <v>131</v>
      </c>
      <c r="U17" s="131"/>
      <c r="V17" s="140">
        <f ca="1">IF(ISBLANK(W23)=TRUE,"",CORREL(W22:W999999,X22:X999999))</f>
        <v>0.79973464826246565</v>
      </c>
      <c r="W17" s="126" t="s">
        <v>132</v>
      </c>
      <c r="Y17" s="136"/>
      <c r="Z17" s="140">
        <f ca="1">IF(ISBLANK(Y23)=TRUE,"",CORREL(Y22:Y999999,Z22:Z999999))</f>
        <v>0.72164852591181117</v>
      </c>
      <c r="AB17" s="131"/>
      <c r="AC17" s="131"/>
      <c r="AD17" s="131"/>
      <c r="AG17" s="50"/>
      <c r="AH17" s="50"/>
      <c r="AI17" s="131"/>
      <c r="AJ17" s="50"/>
      <c r="AL17" s="54">
        <f t="shared" si="0"/>
        <v>0.25999999999999995</v>
      </c>
      <c r="AM17" s="50">
        <v>0</v>
      </c>
      <c r="AN17" s="50">
        <v>0</v>
      </c>
      <c r="AO17" s="50">
        <v>0</v>
      </c>
      <c r="AP17" s="50">
        <v>0</v>
      </c>
    </row>
    <row r="18" spans="2:42" ht="14.25" customHeight="1" x14ac:dyDescent="0.3">
      <c r="B18" s="224" t="str">
        <f>IF(G14&lt;&gt;"",CONCATENATE(G14," +"),"D+")</f>
        <v>BC +</v>
      </c>
      <c r="C18" s="230">
        <v>215</v>
      </c>
      <c r="D18" s="12" t="s">
        <v>15</v>
      </c>
      <c r="E18" s="232">
        <v>1449</v>
      </c>
      <c r="F18" s="12" t="s">
        <v>17</v>
      </c>
      <c r="G18" s="269">
        <f>SUM(C18:F19)</f>
        <v>1664</v>
      </c>
      <c r="I18" s="224" t="str">
        <f>B18</f>
        <v>BC +</v>
      </c>
      <c r="J18" s="287">
        <f ca="1">IF(AND(AJ13&lt;&gt;"",AJ15&lt;&gt;""),IF(AJ13=1,C18,IF(AJ13=0,0,_xlfn.BINOM.INV(C18,AJ13,RAND())))+IF(AJ15=1,0,IF(AJ15=0,C20,_xlfn.BINOM.INV(C20,1-AJ15,RAND()))),"")</f>
        <v>257</v>
      </c>
      <c r="K18" s="16" t="s">
        <v>118</v>
      </c>
      <c r="L18" s="287">
        <f ca="1">IF(AND(AJ14&lt;&gt;"",AJ16&lt;&gt;""),IF(AJ14=1,E18,IF(AJ14=0,0,_xlfn.BINOM.INV(E18,AJ14,RAND())))+IF(AJ16=1,0,IF(AJ16=0,E20,_xlfn.BINOM.INV(E20,1-AJ16,RAND()))),"")</f>
        <v>1489</v>
      </c>
      <c r="M18" s="16" t="s">
        <v>120</v>
      </c>
      <c r="N18" s="293">
        <f ca="1">IFERROR(J18+L18,"")</f>
        <v>1746</v>
      </c>
      <c r="O18" s="1" t="s">
        <v>56</v>
      </c>
      <c r="P18" s="65">
        <f ca="1">AJ3</f>
        <v>0.83729376041094516</v>
      </c>
      <c r="S18" s="223" t="s">
        <v>97</v>
      </c>
      <c r="T18" s="223"/>
      <c r="U18" s="223"/>
      <c r="V18" s="223"/>
      <c r="W18" s="223"/>
      <c r="X18" s="223"/>
      <c r="Y18" s="223"/>
      <c r="Z18" s="223"/>
      <c r="AG18" s="50" t="s">
        <v>118</v>
      </c>
      <c r="AH18" s="50"/>
      <c r="AI18" s="50"/>
      <c r="AJ18" s="50">
        <f ca="1">IFERROR(((C18-(1-P20)*C22) / (P18-(1-P20))),"")</f>
        <v>251.56120797420459</v>
      </c>
      <c r="AL18" s="54">
        <f t="shared" si="0"/>
        <v>0.27999999999999997</v>
      </c>
      <c r="AM18" s="50">
        <v>0</v>
      </c>
      <c r="AN18" s="50">
        <v>0</v>
      </c>
      <c r="AO18" s="50">
        <v>0</v>
      </c>
      <c r="AP18" s="50">
        <v>0</v>
      </c>
    </row>
    <row r="19" spans="2:42" ht="12.75" customHeight="1" x14ac:dyDescent="0.3">
      <c r="B19" s="224"/>
      <c r="C19" s="231"/>
      <c r="D19" s="13"/>
      <c r="E19" s="231"/>
      <c r="F19" s="12"/>
      <c r="G19" s="272"/>
      <c r="I19" s="224"/>
      <c r="J19" s="275"/>
      <c r="K19" s="16"/>
      <c r="L19" s="275"/>
      <c r="M19" s="16"/>
      <c r="N19" s="272"/>
      <c r="O19" s="1" t="s">
        <v>57</v>
      </c>
      <c r="P19" s="65">
        <f ca="1">IF(E12=2,AJ4,P18)</f>
        <v>0.93877606961610027</v>
      </c>
      <c r="AE19" s="127"/>
      <c r="AF19" s="127"/>
      <c r="AG19" s="50" t="s">
        <v>120</v>
      </c>
      <c r="AH19" s="50"/>
      <c r="AI19" s="50"/>
      <c r="AJ19" s="50">
        <f ca="1">IFERROR((E18-(1-P21)*E22) / (P19-(1-P21)),"")</f>
        <v>1480.8020369171329</v>
      </c>
      <c r="AL19" s="54">
        <f t="shared" si="0"/>
        <v>0.3</v>
      </c>
      <c r="AM19" s="50">
        <v>0</v>
      </c>
      <c r="AN19" s="50">
        <v>0</v>
      </c>
      <c r="AO19" s="50">
        <v>0</v>
      </c>
      <c r="AP19" s="50">
        <v>0</v>
      </c>
    </row>
    <row r="20" spans="2:42" ht="12.75" customHeight="1" x14ac:dyDescent="0.3">
      <c r="B20" s="224" t="str">
        <f>IF(G14&lt;&gt;"",CONCATENATE(G14," -"),"D-")</f>
        <v>BC -</v>
      </c>
      <c r="C20" s="225">
        <v>668</v>
      </c>
      <c r="D20" s="14" t="s">
        <v>16</v>
      </c>
      <c r="E20" s="225">
        <v>4296</v>
      </c>
      <c r="F20" s="14" t="s">
        <v>18</v>
      </c>
      <c r="G20" s="272">
        <f>SUM(C20:F21)</f>
        <v>4964</v>
      </c>
      <c r="I20" s="224" t="str">
        <f>B20</f>
        <v>BC -</v>
      </c>
      <c r="J20" s="270">
        <f ca="1">IF(J18&lt;&gt;"",C22-J18,"")</f>
        <v>626</v>
      </c>
      <c r="K20" s="17" t="s">
        <v>119</v>
      </c>
      <c r="L20" s="270">
        <f ca="1">IF(L18&lt;&gt;"",E22-L18,"")</f>
        <v>4256</v>
      </c>
      <c r="M20" s="17" t="s">
        <v>72</v>
      </c>
      <c r="N20" s="294">
        <f ca="1">IFERROR(J20+L20,"")</f>
        <v>4882</v>
      </c>
      <c r="O20" s="1" t="s">
        <v>58</v>
      </c>
      <c r="P20" s="65">
        <f ca="1">AJ5</f>
        <v>0.99308029494396366</v>
      </c>
      <c r="S20" s="52" t="s">
        <v>70</v>
      </c>
      <c r="T20" s="52"/>
      <c r="U20" s="52" t="s">
        <v>67</v>
      </c>
      <c r="V20" s="52"/>
      <c r="W20" s="52" t="s">
        <v>53</v>
      </c>
      <c r="X20" s="52"/>
      <c r="Y20" s="52"/>
      <c r="Z20" s="52"/>
      <c r="AB20" s="126"/>
      <c r="AC20" s="125"/>
      <c r="AD20" s="124"/>
      <c r="AE20" s="127"/>
      <c r="AF20" s="127"/>
      <c r="AG20" s="50" t="s">
        <v>119</v>
      </c>
      <c r="AH20" s="50"/>
      <c r="AI20" s="50"/>
      <c r="AJ20" s="50">
        <f ca="1">IFERROR(C22-AJ18,"")</f>
        <v>631.43879202579546</v>
      </c>
      <c r="AL20" s="54">
        <f t="shared" si="0"/>
        <v>0.32</v>
      </c>
      <c r="AM20" s="50">
        <v>0</v>
      </c>
      <c r="AN20" s="50">
        <v>0</v>
      </c>
      <c r="AO20" s="50">
        <v>0</v>
      </c>
      <c r="AP20" s="50">
        <v>0</v>
      </c>
    </row>
    <row r="21" spans="2:42" ht="13.5" thickBot="1" x14ac:dyDescent="0.35">
      <c r="B21" s="224"/>
      <c r="C21" s="226"/>
      <c r="D21" s="15"/>
      <c r="E21" s="226"/>
      <c r="F21" s="15"/>
      <c r="G21" s="273"/>
      <c r="I21" s="224"/>
      <c r="J21" s="271"/>
      <c r="K21" s="18"/>
      <c r="L21" s="271"/>
      <c r="M21" s="18"/>
      <c r="N21" s="273"/>
      <c r="O21" s="1" t="s">
        <v>59</v>
      </c>
      <c r="P21" s="65">
        <f ca="1">IF(E12=2,AJ6,P20)</f>
        <v>0.98619705641881927</v>
      </c>
      <c r="S21" s="58" t="s">
        <v>47</v>
      </c>
      <c r="T21" s="58" t="s">
        <v>48</v>
      </c>
      <c r="U21" s="58" t="str">
        <f>S21</f>
        <v>RR</v>
      </c>
      <c r="V21" s="58" t="str">
        <f>T21</f>
        <v>OR</v>
      </c>
      <c r="W21" s="58" t="s">
        <v>50</v>
      </c>
      <c r="X21" s="58" t="s">
        <v>49</v>
      </c>
      <c r="Y21" s="58" t="s">
        <v>51</v>
      </c>
      <c r="Z21" s="58" t="s">
        <v>52</v>
      </c>
      <c r="AB21" s="126"/>
      <c r="AC21" s="125"/>
      <c r="AD21" s="124"/>
      <c r="AE21" s="127"/>
      <c r="AF21" s="127"/>
      <c r="AG21" s="50" t="s">
        <v>72</v>
      </c>
      <c r="AH21" s="50"/>
      <c r="AI21" s="50"/>
      <c r="AJ21" s="50">
        <f ca="1">IFERROR(E22-AJ19,"")</f>
        <v>4264.1979630828673</v>
      </c>
      <c r="AL21" s="54">
        <f t="shared" si="0"/>
        <v>0.34</v>
      </c>
      <c r="AM21" s="50">
        <v>0</v>
      </c>
      <c r="AN21" s="50">
        <v>0</v>
      </c>
      <c r="AO21" s="50">
        <v>0</v>
      </c>
      <c r="AP21" s="50">
        <v>0</v>
      </c>
    </row>
    <row r="22" spans="2:42" ht="12.75" customHeight="1" x14ac:dyDescent="0.3">
      <c r="B22" s="224" t="s">
        <v>1</v>
      </c>
      <c r="C22" s="233">
        <f>SUM(C18:C21)</f>
        <v>883</v>
      </c>
      <c r="D22" s="16" t="s">
        <v>20</v>
      </c>
      <c r="E22" s="233">
        <f>SUM(E18:E21)</f>
        <v>5745</v>
      </c>
      <c r="F22" s="16" t="s">
        <v>19</v>
      </c>
      <c r="G22" s="7"/>
      <c r="I22" s="224" t="str">
        <f>B22</f>
        <v>Total</v>
      </c>
      <c r="J22" s="287">
        <f ca="1">IFERROR(J18+J20,"")</f>
        <v>883</v>
      </c>
      <c r="K22" s="16" t="s">
        <v>123</v>
      </c>
      <c r="L22" s="287">
        <f ca="1">IFERROR(L18+L20,"")</f>
        <v>5745</v>
      </c>
      <c r="M22" s="16" t="s">
        <v>124</v>
      </c>
      <c r="S22" s="58">
        <f ca="1">IF(OR(J18="",J20="",L18="",L20="",AJ23=0),"",AJ23)</f>
        <v>1.1052893815781406</v>
      </c>
      <c r="T22" s="58">
        <f ca="1">IF(OR(J18="",J20="",L18="",L20="",AJ24=0),"",AJ24)</f>
        <v>1.1472360030894333</v>
      </c>
      <c r="U22" s="107">
        <f ca="1">IF(OR(J18="",J20="",L18="",L20="",V3=0),"",V6)</f>
        <v>1.1373512619561856</v>
      </c>
      <c r="V22" s="58">
        <f ca="1">IF(OR(J18="",J20="",L18="",L20="",Z3=0),"",Z6)</f>
        <v>1.3432646722387409</v>
      </c>
      <c r="W22" s="113">
        <f ca="1">AJ3</f>
        <v>0.83729376041094516</v>
      </c>
      <c r="X22" s="113">
        <f ca="1">AJ4</f>
        <v>0.93877606961610027</v>
      </c>
      <c r="Y22" s="120">
        <f ca="1">AJ5</f>
        <v>0.99308029494396366</v>
      </c>
      <c r="Z22" s="113">
        <f ca="1">AJ6</f>
        <v>0.98619705641881927</v>
      </c>
      <c r="AB22" s="126"/>
      <c r="AC22" s="125"/>
      <c r="AD22" s="124"/>
      <c r="AE22" s="127"/>
      <c r="AF22" s="127"/>
      <c r="AG22" s="20"/>
      <c r="AH22" s="20"/>
      <c r="AI22" s="131"/>
      <c r="AJ22" s="131"/>
      <c r="AL22" s="54">
        <f t="shared" si="0"/>
        <v>0.36000000000000004</v>
      </c>
      <c r="AM22" s="50">
        <v>0</v>
      </c>
      <c r="AN22" s="50">
        <v>0</v>
      </c>
      <c r="AO22" s="50">
        <v>0</v>
      </c>
      <c r="AP22" s="50">
        <v>0</v>
      </c>
    </row>
    <row r="23" spans="2:42" ht="13.5" customHeight="1" x14ac:dyDescent="0.3">
      <c r="B23" s="224"/>
      <c r="C23" s="234"/>
      <c r="D23" s="8"/>
      <c r="E23" s="234"/>
      <c r="F23" s="8"/>
      <c r="G23" s="3"/>
      <c r="I23" s="224"/>
      <c r="J23" s="275"/>
      <c r="K23" s="132"/>
      <c r="L23" s="275"/>
      <c r="M23" s="132"/>
      <c r="S23" s="50">
        <v>2.5426407728820695</v>
      </c>
      <c r="T23" s="50">
        <v>3.1237771495342077</v>
      </c>
      <c r="U23" s="50">
        <v>2.2764444727011703</v>
      </c>
      <c r="V23" s="50">
        <v>2.9311270944371066</v>
      </c>
      <c r="W23" s="50">
        <v>0.87312405573735519</v>
      </c>
      <c r="X23" s="50">
        <v>0.92693698780414102</v>
      </c>
      <c r="Y23" s="50">
        <v>0.99370538395258012</v>
      </c>
      <c r="Z23" s="50">
        <v>0.82914898840094398</v>
      </c>
      <c r="AB23" s="125"/>
      <c r="AC23" s="125"/>
      <c r="AD23" s="125"/>
      <c r="AE23" s="127"/>
      <c r="AF23" s="127"/>
      <c r="AG23" s="50" t="s">
        <v>47</v>
      </c>
      <c r="AH23" s="50"/>
      <c r="AI23" s="50"/>
      <c r="AJ23" s="50">
        <f ca="1">IFERROR((AJ18/(AJ18+AJ20))/(AJ19/(AJ19+AJ21)),"")</f>
        <v>1.1052893815781406</v>
      </c>
      <c r="AL23" s="54">
        <f t="shared" si="0"/>
        <v>0.38000000000000006</v>
      </c>
      <c r="AM23" s="50">
        <v>0</v>
      </c>
      <c r="AN23" s="50">
        <v>0</v>
      </c>
      <c r="AO23" s="50">
        <v>0</v>
      </c>
      <c r="AP23" s="50">
        <v>0</v>
      </c>
    </row>
    <row r="24" spans="2:42" ht="13.5" customHeight="1" x14ac:dyDescent="0.3">
      <c r="B24" s="44"/>
      <c r="C24" s="44"/>
      <c r="D24" s="5"/>
      <c r="E24" s="44"/>
      <c r="F24" s="5"/>
      <c r="G24" s="3"/>
      <c r="AB24" s="124"/>
      <c r="AC24" s="125"/>
      <c r="AD24" s="125"/>
      <c r="AE24" s="127"/>
      <c r="AF24" s="127"/>
      <c r="AG24" s="50" t="s">
        <v>48</v>
      </c>
      <c r="AH24" s="50"/>
      <c r="AI24" s="50"/>
      <c r="AJ24" s="50">
        <f ca="1">IFERROR((AJ18/AJ20)/(AJ19/AJ21),"")</f>
        <v>1.1472360030894333</v>
      </c>
      <c r="AL24" s="54">
        <f t="shared" si="0"/>
        <v>0.40000000000000008</v>
      </c>
      <c r="AM24" s="50">
        <v>0</v>
      </c>
      <c r="AN24" s="50">
        <v>0</v>
      </c>
      <c r="AO24" s="50">
        <v>0</v>
      </c>
      <c r="AP24" s="50">
        <v>0</v>
      </c>
    </row>
    <row r="25" spans="2:42" ht="13.5" customHeight="1" x14ac:dyDescent="0.3">
      <c r="B25" s="37" t="s">
        <v>35</v>
      </c>
      <c r="C25" s="38"/>
      <c r="D25" s="38"/>
      <c r="E25" s="37" t="s">
        <v>4</v>
      </c>
      <c r="F25" s="37"/>
      <c r="G25" s="38"/>
      <c r="I25" s="35" t="s">
        <v>110</v>
      </c>
      <c r="J25" s="36"/>
      <c r="K25" s="36"/>
      <c r="L25" s="36"/>
      <c r="M25" s="35" t="s">
        <v>36</v>
      </c>
      <c r="O25" s="295"/>
      <c r="P25" s="295"/>
      <c r="S25" s="50">
        <v>1.5422336645640051</v>
      </c>
      <c r="T25" s="50">
        <v>1.7426644296650315</v>
      </c>
      <c r="U25" s="50">
        <v>1.6745091069871954</v>
      </c>
      <c r="V25" s="50">
        <v>1.6486152237465472</v>
      </c>
      <c r="W25" s="50">
        <v>0.88073740347347951</v>
      </c>
      <c r="X25" s="50">
        <v>0.88872242697324177</v>
      </c>
      <c r="Y25" s="50">
        <v>0.99206414864496317</v>
      </c>
      <c r="Z25" s="50">
        <v>0.88279028411668437</v>
      </c>
      <c r="AB25" s="125"/>
      <c r="AC25" s="125"/>
      <c r="AD25" s="125"/>
      <c r="AE25" s="127"/>
      <c r="AF25" s="127"/>
      <c r="AG25" s="127"/>
      <c r="AH25" s="127"/>
      <c r="AI25" s="125"/>
      <c r="AJ25" s="125"/>
      <c r="AL25" s="54">
        <f t="shared" si="0"/>
        <v>0.4200000000000001</v>
      </c>
      <c r="AM25" s="50">
        <v>0</v>
      </c>
      <c r="AN25" s="50">
        <v>0</v>
      </c>
      <c r="AO25" s="50">
        <v>0</v>
      </c>
      <c r="AP25" s="50">
        <v>0</v>
      </c>
    </row>
    <row r="26" spans="2:42" ht="13.5" customHeight="1" x14ac:dyDescent="0.3">
      <c r="B26" s="1" t="str">
        <f>IF(C14&lt;&gt;"",IF(G14&lt;&gt;"",CONCATENATE("RR (",C14,"-",G14,")"),"RR (ED)"),"RR (ED)")</f>
        <v>RR (Smoke-BC)</v>
      </c>
      <c r="E26" s="3" t="str">
        <f>CONCATENATE(ROUND((C18/C22)/(E18/E22),2)," (",ROUND(EXP(LN((C18/C22)/(E18/E22))-1.96*V4),2)," - ",ROUND(EXP(LN((C18/C22)/(E18/E22))+1.96*V4),2),")")</f>
        <v>0.97 (0.85 - 1.09)</v>
      </c>
      <c r="F26" s="3"/>
      <c r="G26" s="3"/>
      <c r="I26" s="1" t="str">
        <f>IF(C14&lt;&gt;"",IF(G14&lt;&gt;"",CONCATENATE("RR (",C14,"-",G14,")"),"RR (ED)"),"RR (ED)")</f>
        <v>RR (Smoke-BC)</v>
      </c>
      <c r="K26" s="3"/>
      <c r="M26" s="133" t="str">
        <f ca="1">IF(OR(J18="",J20="",L18="",L20=""),"",CONCATENATE(ROUND((J18/J22)/(L18/L22),2)))</f>
        <v>1.12</v>
      </c>
      <c r="AB26" s="125"/>
      <c r="AC26" s="124"/>
      <c r="AD26" s="124"/>
      <c r="AE26" s="127"/>
      <c r="AF26" s="127"/>
      <c r="AG26" s="128"/>
      <c r="AH26" s="127"/>
      <c r="AI26" s="125"/>
      <c r="AJ26" s="125"/>
      <c r="AL26" s="54">
        <f t="shared" si="0"/>
        <v>0.44000000000000011</v>
      </c>
      <c r="AM26" s="50">
        <v>0</v>
      </c>
      <c r="AN26" s="50">
        <v>0</v>
      </c>
      <c r="AO26" s="50">
        <v>0</v>
      </c>
      <c r="AP26" s="50">
        <v>0</v>
      </c>
    </row>
    <row r="27" spans="2:42" ht="13.5" customHeight="1" x14ac:dyDescent="0.3">
      <c r="B27" s="9" t="str">
        <f>IF(C14&lt;&gt;"",IF(G14&lt;&gt;"",CONCATENATE("OR (",C14,"-",G14,")"),"OR (ED)"),"OR (ED)")</f>
        <v>OR (Smoke-BC)</v>
      </c>
      <c r="C27" s="10"/>
      <c r="D27" s="10"/>
      <c r="E27" s="34" t="str">
        <f>CONCATENATE(ROUND((C18/C20)/(E18/E20),2)," (",ROUND(EXP(LN((C18/C20)/(E18/E20))-1.96*Z4),2)," - ",ROUND(EXP(LN((C18/C20)/(E18/E20))+1.96*Z4),2),")")</f>
        <v>0.95 (0.81 - 1.13)</v>
      </c>
      <c r="F27" s="34"/>
      <c r="G27" s="34"/>
      <c r="I27" s="9" t="str">
        <f>IF(C14&lt;&gt;"",IF(G14&lt;&gt;"",CONCATENATE("OR (",C14,"-",G14,")"),"OR (ED)"),"OR (ED)")</f>
        <v>OR (Smoke-BC)</v>
      </c>
      <c r="J27" s="10"/>
      <c r="K27" s="34"/>
      <c r="L27" s="10"/>
      <c r="M27" s="134" t="str">
        <f ca="1">IF(OR(J18="",J20="",L18="",L20=""),"",CONCATENATE(ROUND((J18/J20)/(L18/L20),2)))</f>
        <v>1.17</v>
      </c>
      <c r="S27" s="50">
        <v>1.0678612635060221</v>
      </c>
      <c r="T27" s="50">
        <v>1.0959702402125395</v>
      </c>
      <c r="U27" s="50">
        <v>0.98458161179092063</v>
      </c>
      <c r="V27" s="50">
        <v>1.0663215782646276</v>
      </c>
      <c r="W27" s="50">
        <v>0.81507407113247388</v>
      </c>
      <c r="X27" s="50">
        <v>0.87628487083511331</v>
      </c>
      <c r="Y27" s="50">
        <v>0.99326988358842172</v>
      </c>
      <c r="Z27" s="50">
        <v>0.98364081312236284</v>
      </c>
      <c r="AB27" s="125"/>
      <c r="AC27" s="124"/>
      <c r="AD27" s="124"/>
      <c r="AE27" s="127"/>
      <c r="AF27" s="127"/>
      <c r="AG27" s="128"/>
      <c r="AH27" s="127"/>
      <c r="AI27" s="125"/>
      <c r="AJ27" s="125"/>
      <c r="AL27" s="54">
        <f t="shared" si="0"/>
        <v>0.46000000000000013</v>
      </c>
      <c r="AM27" s="50">
        <v>0</v>
      </c>
      <c r="AN27" s="50">
        <v>0</v>
      </c>
      <c r="AO27" s="50">
        <v>0</v>
      </c>
      <c r="AP27" s="50">
        <v>0</v>
      </c>
    </row>
    <row r="28" spans="2:42" ht="13.5" customHeight="1" x14ac:dyDescent="0.3">
      <c r="B28" s="1"/>
      <c r="E28" s="3"/>
      <c r="F28" s="3"/>
      <c r="G28" s="3"/>
      <c r="AB28" s="125"/>
      <c r="AC28" s="124"/>
      <c r="AD28" s="124"/>
      <c r="AE28" s="127"/>
      <c r="AF28" s="127"/>
      <c r="AG28" s="128"/>
      <c r="AH28" s="127"/>
      <c r="AI28" s="125"/>
      <c r="AJ28" s="125"/>
      <c r="AL28" s="54">
        <f t="shared" si="0"/>
        <v>0.48000000000000015</v>
      </c>
      <c r="AM28" s="50">
        <v>0</v>
      </c>
      <c r="AN28" s="50">
        <v>0</v>
      </c>
      <c r="AO28" s="50">
        <v>0</v>
      </c>
      <c r="AP28" s="50">
        <v>0</v>
      </c>
    </row>
    <row r="29" spans="2:42" ht="13.5" customHeight="1" x14ac:dyDescent="0.3">
      <c r="B29" s="241" t="str">
        <f>CONCATENATE("RR Simulation Results (N=",COUNT(U23:U50000),")")</f>
        <v>RR Simulation Results (N=69)</v>
      </c>
      <c r="C29" s="241"/>
      <c r="D29" s="241"/>
      <c r="E29" s="241"/>
      <c r="F29" s="241"/>
      <c r="G29" s="241"/>
      <c r="I29" s="241" t="str">
        <f>CONCATENATE("OR Simulation Results (N=",COUNT(V23:V50000),")")</f>
        <v>OR Simulation Results (N=69)</v>
      </c>
      <c r="J29" s="241"/>
      <c r="K29" s="241"/>
      <c r="L29" s="241"/>
      <c r="M29" s="241"/>
      <c r="N29" s="241"/>
      <c r="O29" s="1"/>
      <c r="P29" s="242" t="s">
        <v>177</v>
      </c>
      <c r="S29" s="50">
        <v>1.8429928369380548</v>
      </c>
      <c r="T29" s="50">
        <v>2.1550701019843963</v>
      </c>
      <c r="U29" s="50">
        <v>2.1450996008681478</v>
      </c>
      <c r="V29" s="50">
        <v>2.1750628741570144</v>
      </c>
      <c r="W29" s="50">
        <v>0.87345101709404382</v>
      </c>
      <c r="X29" s="50">
        <v>0.89720727623324026</v>
      </c>
      <c r="Y29" s="50">
        <v>0.98972514400440348</v>
      </c>
      <c r="Z29" s="50">
        <v>0.85857779318505667</v>
      </c>
      <c r="AB29" s="126"/>
      <c r="AC29" s="124"/>
      <c r="AD29" s="124"/>
      <c r="AE29" s="127"/>
      <c r="AF29" s="127"/>
      <c r="AG29" s="128"/>
      <c r="AH29" s="127"/>
      <c r="AI29" s="125"/>
      <c r="AJ29" s="125"/>
      <c r="AL29" s="54">
        <f t="shared" si="0"/>
        <v>0.50000000000000011</v>
      </c>
      <c r="AM29" s="50">
        <v>0</v>
      </c>
      <c r="AN29" s="50">
        <v>0</v>
      </c>
      <c r="AO29" s="50">
        <v>0</v>
      </c>
      <c r="AP29" s="50">
        <v>0</v>
      </c>
    </row>
    <row r="30" spans="2:42" ht="13.5" customHeight="1" x14ac:dyDescent="0.3">
      <c r="B30" s="35" t="s">
        <v>68</v>
      </c>
      <c r="C30" s="241" t="s">
        <v>69</v>
      </c>
      <c r="D30" s="241"/>
      <c r="E30" s="241"/>
      <c r="F30" s="241"/>
      <c r="G30" s="241"/>
      <c r="I30" s="35" t="s">
        <v>68</v>
      </c>
      <c r="J30" s="241" t="s">
        <v>69</v>
      </c>
      <c r="K30" s="241"/>
      <c r="L30" s="241"/>
      <c r="M30" s="241"/>
      <c r="N30" s="241"/>
      <c r="P30" s="243"/>
      <c r="S30" s="50">
        <v>30.690474642801224</v>
      </c>
      <c r="T30" s="50">
        <v>41.99318941251618</v>
      </c>
      <c r="U30" s="50">
        <v>28.384249176460383</v>
      </c>
      <c r="V30" s="50">
        <v>26.990206547974289</v>
      </c>
      <c r="W30" s="50">
        <v>0.84321440254933877</v>
      </c>
      <c r="X30" s="50">
        <v>0.88917298902001818</v>
      </c>
      <c r="Y30" s="50">
        <v>0.98481862334107417</v>
      </c>
      <c r="Z30" s="50">
        <v>0.75355491590877888</v>
      </c>
      <c r="AB30" s="126"/>
      <c r="AC30" s="124"/>
      <c r="AD30" s="125"/>
      <c r="AE30" s="127"/>
      <c r="AF30" s="127"/>
      <c r="AG30" s="127"/>
      <c r="AH30" s="127"/>
      <c r="AI30" s="125"/>
      <c r="AJ30" s="125"/>
      <c r="AL30" s="54">
        <f t="shared" si="0"/>
        <v>0.52000000000000013</v>
      </c>
      <c r="AM30" s="50">
        <v>0</v>
      </c>
      <c r="AN30" s="50">
        <v>0</v>
      </c>
      <c r="AO30" s="50">
        <v>0</v>
      </c>
      <c r="AP30" s="50">
        <v>0</v>
      </c>
    </row>
    <row r="31" spans="2:42" ht="13.5" customHeight="1" x14ac:dyDescent="0.3">
      <c r="B31" s="1" t="s">
        <v>65</v>
      </c>
      <c r="C31" s="278" t="str">
        <f>E26</f>
        <v>0.97 (0.85 - 1.09)</v>
      </c>
      <c r="D31" s="279"/>
      <c r="E31" s="279"/>
      <c r="F31" s="279"/>
      <c r="G31" s="279"/>
      <c r="I31" s="1" t="s">
        <v>65</v>
      </c>
      <c r="J31" s="43"/>
      <c r="K31" s="278" t="str">
        <f>E27</f>
        <v>0.95 (0.81 - 1.13)</v>
      </c>
      <c r="L31" s="279"/>
      <c r="M31" s="279"/>
      <c r="N31" s="279"/>
      <c r="P31" s="283">
        <v>31</v>
      </c>
      <c r="S31" s="50">
        <v>8.5343506877400817</v>
      </c>
      <c r="T31" s="50">
        <v>11.288636173281262</v>
      </c>
      <c r="U31" s="50">
        <v>8.1786483660652838</v>
      </c>
      <c r="V31" s="50">
        <v>15.340028091250945</v>
      </c>
      <c r="W31" s="50">
        <v>0.86756509802586357</v>
      </c>
      <c r="X31" s="50">
        <v>0.90952509444074825</v>
      </c>
      <c r="Y31" s="50">
        <v>0.98465181530816615</v>
      </c>
      <c r="Z31" s="50">
        <v>0.76906643553576726</v>
      </c>
      <c r="AB31" s="126"/>
      <c r="AC31" s="124"/>
      <c r="AD31" s="125"/>
      <c r="AE31" s="127"/>
      <c r="AF31" s="127"/>
      <c r="AG31" s="127"/>
      <c r="AH31" s="127"/>
      <c r="AI31" s="125"/>
      <c r="AJ31" s="125"/>
      <c r="AL31" s="54">
        <f t="shared" si="0"/>
        <v>0.54000000000000015</v>
      </c>
      <c r="AM31" s="50">
        <v>0</v>
      </c>
      <c r="AN31" s="50">
        <v>0</v>
      </c>
      <c r="AO31" s="50">
        <v>0</v>
      </c>
      <c r="AP31" s="50">
        <v>0</v>
      </c>
    </row>
    <row r="32" spans="2:42" ht="13.5" customHeight="1" x14ac:dyDescent="0.3">
      <c r="B32" s="1" t="s">
        <v>66</v>
      </c>
      <c r="C32" s="267" t="str">
        <f ca="1">IF(COUNTA(S23:S400000)&gt;0,CONCATENATE(ROUND(PERCENTILE(S23:S50011,0.5),2)," (",ROUND(PERCENTILE(S23:S50011,0.025),2)," - ",ROUND(PERCENTILE(S22:S50010,0.975),2),")"),"")</f>
        <v>1.58 (1.04 - 17.41)</v>
      </c>
      <c r="D32" s="267"/>
      <c r="E32" s="267"/>
      <c r="F32" s="267"/>
      <c r="G32" s="267"/>
      <c r="I32" s="1" t="s">
        <v>66</v>
      </c>
      <c r="J32" s="43"/>
      <c r="K32" s="267" t="str">
        <f>IF(COUNTA(T23:T400000)&gt;0,CONCATENATE(ROUND(PERCENTILE(T23:T50011,0.5),2)," (",ROUND(PERCENTILE(T23:T50011,0.025),2)," - ",ROUND(PERCENTILE(T23:T50011,0.975),2),")"),"")</f>
        <v>1.81 (1.06 - 23.98)</v>
      </c>
      <c r="L32" s="267"/>
      <c r="M32" s="267"/>
      <c r="N32" s="267"/>
      <c r="P32" s="284"/>
      <c r="S32" s="50">
        <v>2.2636261235251753</v>
      </c>
      <c r="T32" s="50">
        <v>2.7431105300606164</v>
      </c>
      <c r="U32" s="50">
        <v>2.3101934720252246</v>
      </c>
      <c r="V32" s="50">
        <v>2.8933660572695841</v>
      </c>
      <c r="W32" s="50">
        <v>0.86301822640745252</v>
      </c>
      <c r="X32" s="50">
        <v>0.91360079655666881</v>
      </c>
      <c r="Y32" s="50">
        <v>0.99159331709052612</v>
      </c>
      <c r="Z32" s="50">
        <v>0.8392687795184528</v>
      </c>
      <c r="AB32" s="125"/>
      <c r="AC32" s="125"/>
      <c r="AD32" s="125"/>
      <c r="AE32" s="127"/>
      <c r="AF32" s="127"/>
      <c r="AG32" s="127"/>
      <c r="AH32" s="127"/>
      <c r="AI32" s="125"/>
      <c r="AJ32" s="125"/>
      <c r="AL32" s="54">
        <f t="shared" si="0"/>
        <v>0.56000000000000016</v>
      </c>
      <c r="AM32" s="50">
        <v>0</v>
      </c>
      <c r="AN32" s="50">
        <v>0</v>
      </c>
      <c r="AO32" s="50">
        <v>0</v>
      </c>
      <c r="AP32" s="50">
        <v>0</v>
      </c>
    </row>
    <row r="33" spans="2:42" ht="13" x14ac:dyDescent="0.3">
      <c r="B33" s="9" t="s">
        <v>67</v>
      </c>
      <c r="C33" s="282" t="str">
        <f>IF(COUNTA(U23:U400000)&gt;0,CONCATENATE(ROUND(PERCENTILE(U23:U50011,0.5),2)," (",ROUND(PERCENTILE(U23:U50011,0.025),2)," - ",ROUND(PERCENTILE(U23:U50011,0.975),2),")"),"")</f>
        <v>1.59 (0.99 - 17.39)</v>
      </c>
      <c r="D33" s="282"/>
      <c r="E33" s="282"/>
      <c r="F33" s="282"/>
      <c r="G33" s="282"/>
      <c r="I33" s="9" t="s">
        <v>67</v>
      </c>
      <c r="J33" s="59"/>
      <c r="K33" s="282" t="str">
        <f>IF(COUNTA(V23:V400000)&gt;0,CONCATENATE(ROUND(PERCENTILE(V23:V50011,0.5),2)," (",ROUND(PERCENTILE(V23:V50011,0.025),2)," - ",ROUND(PERCENTILE(V23:V50011,0.975),2),")"),"")</f>
        <v>1.76 (1.05 - 21.55)</v>
      </c>
      <c r="L33" s="282"/>
      <c r="M33" s="282"/>
      <c r="N33" s="282"/>
      <c r="O33" s="10"/>
      <c r="P33" s="285"/>
      <c r="S33" s="50">
        <v>1.2049802459734285</v>
      </c>
      <c r="T33" s="50">
        <v>1.2838071114831537</v>
      </c>
      <c r="U33" s="50">
        <v>1.2141746344703164</v>
      </c>
      <c r="V33" s="50">
        <v>1.5708021887381072</v>
      </c>
      <c r="W33" s="50">
        <v>0.86585985304703361</v>
      </c>
      <c r="X33" s="50">
        <v>0.93557765327157139</v>
      </c>
      <c r="Y33" s="50">
        <v>0.99585014338358446</v>
      </c>
      <c r="Z33" s="50">
        <v>0.95247743697635734</v>
      </c>
      <c r="AB33" s="125"/>
      <c r="AC33" s="125"/>
      <c r="AD33" s="125"/>
      <c r="AE33" s="127"/>
      <c r="AF33" s="127"/>
      <c r="AG33" s="127"/>
      <c r="AH33" s="127"/>
      <c r="AI33" s="125"/>
      <c r="AJ33" s="125"/>
      <c r="AL33" s="54">
        <f t="shared" si="0"/>
        <v>0.58000000000000018</v>
      </c>
      <c r="AM33" s="50">
        <v>0</v>
      </c>
      <c r="AN33" s="50">
        <v>0</v>
      </c>
      <c r="AO33" s="50">
        <v>0</v>
      </c>
      <c r="AP33" s="50">
        <v>0</v>
      </c>
    </row>
    <row r="34" spans="2:42" ht="12.75" customHeight="1" x14ac:dyDescent="0.3">
      <c r="AB34" s="124"/>
      <c r="AC34" s="125"/>
      <c r="AD34" s="125"/>
      <c r="AE34" s="127"/>
      <c r="AF34" s="127"/>
      <c r="AG34" s="127"/>
      <c r="AH34" s="127"/>
      <c r="AI34" s="125"/>
      <c r="AJ34" s="125"/>
      <c r="AL34" s="54">
        <f t="shared" si="0"/>
        <v>0.6000000000000002</v>
      </c>
      <c r="AM34" s="50">
        <v>0</v>
      </c>
      <c r="AN34" s="50">
        <v>0</v>
      </c>
      <c r="AO34" s="50">
        <v>0</v>
      </c>
      <c r="AP34" s="50">
        <v>0</v>
      </c>
    </row>
    <row r="35" spans="2:42" ht="13" x14ac:dyDescent="0.3">
      <c r="H35" s="236"/>
      <c r="I35" s="236"/>
      <c r="J35" s="236"/>
      <c r="L35" s="280" t="e">
        <f>#REF!+#REF!</f>
        <v>#REF!</v>
      </c>
      <c r="M35" s="280"/>
      <c r="N35" s="280"/>
      <c r="O35" s="280"/>
      <c r="Q35" s="1"/>
      <c r="R35" s="1"/>
      <c r="AB35" s="125"/>
      <c r="AC35" s="125"/>
      <c r="AD35" s="125"/>
      <c r="AE35" s="127"/>
      <c r="AF35" s="127"/>
      <c r="AG35" s="127"/>
      <c r="AH35" s="129"/>
      <c r="AI35" s="130"/>
      <c r="AJ35" s="125"/>
      <c r="AL35" s="54">
        <f t="shared" si="0"/>
        <v>0.62000000000000022</v>
      </c>
      <c r="AM35" s="50">
        <v>0</v>
      </c>
      <c r="AN35" s="50">
        <v>0</v>
      </c>
      <c r="AO35" s="50">
        <v>0</v>
      </c>
      <c r="AP35" s="50">
        <v>0</v>
      </c>
    </row>
    <row r="36" spans="2:42" ht="13" x14ac:dyDescent="0.3">
      <c r="H36" s="32"/>
      <c r="I36" s="32"/>
      <c r="J36" s="32"/>
      <c r="L36" s="67"/>
      <c r="M36" s="67"/>
      <c r="N36" s="67"/>
      <c r="O36" s="67"/>
      <c r="S36" s="50">
        <v>1.6631106883217033</v>
      </c>
      <c r="T36" s="50">
        <v>1.9141854939194971</v>
      </c>
      <c r="U36" s="50">
        <v>1.4715973106034628</v>
      </c>
      <c r="V36" s="50">
        <v>1.7596965642051723</v>
      </c>
      <c r="W36" s="50">
        <v>0.86761593171102758</v>
      </c>
      <c r="X36" s="50">
        <v>0.92504854958968019</v>
      </c>
      <c r="Y36" s="50">
        <v>0.99282654369799106</v>
      </c>
      <c r="Z36" s="50">
        <v>0.8808683837380602</v>
      </c>
      <c r="AB36" s="125"/>
      <c r="AC36" s="124"/>
      <c r="AD36" s="124"/>
      <c r="AE36" s="127"/>
      <c r="AF36" s="127"/>
      <c r="AG36" s="127"/>
      <c r="AH36" s="129"/>
      <c r="AI36" s="130"/>
      <c r="AJ36" s="125"/>
      <c r="AL36" s="54">
        <f t="shared" si="0"/>
        <v>0.64000000000000024</v>
      </c>
      <c r="AM36" s="50">
        <v>0</v>
      </c>
      <c r="AN36" s="50">
        <v>0</v>
      </c>
      <c r="AO36" s="50">
        <v>0</v>
      </c>
      <c r="AP36" s="50">
        <v>0</v>
      </c>
    </row>
    <row r="37" spans="2:42" ht="13" x14ac:dyDescent="0.3">
      <c r="H37" s="32"/>
      <c r="I37" s="32"/>
      <c r="J37" s="32"/>
      <c r="L37" s="67"/>
      <c r="M37" s="67"/>
      <c r="N37" s="67"/>
      <c r="O37" s="67"/>
      <c r="Q37" s="23"/>
      <c r="R37" s="23"/>
      <c r="AB37" s="125"/>
      <c r="AC37" s="124"/>
      <c r="AD37" s="124"/>
      <c r="AE37" s="127"/>
      <c r="AF37" s="127"/>
      <c r="AG37" s="127"/>
      <c r="AH37" s="129"/>
      <c r="AI37" s="130"/>
      <c r="AJ37" s="125"/>
      <c r="AL37" s="54">
        <f t="shared" ref="AL37:AL53" si="1">AL36+0.02</f>
        <v>0.66000000000000025</v>
      </c>
      <c r="AM37" s="50">
        <v>0</v>
      </c>
      <c r="AN37" s="50">
        <v>0</v>
      </c>
      <c r="AO37" s="50">
        <v>0</v>
      </c>
      <c r="AP37" s="50">
        <v>0</v>
      </c>
    </row>
    <row r="38" spans="2:42" ht="13" x14ac:dyDescent="0.3">
      <c r="H38" s="32"/>
      <c r="I38" s="32"/>
      <c r="J38" s="32"/>
      <c r="L38" s="67"/>
      <c r="M38" s="67"/>
      <c r="N38" s="67"/>
      <c r="O38" s="67"/>
      <c r="Q38" s="23"/>
      <c r="R38" s="23"/>
      <c r="AB38" s="125"/>
      <c r="AC38" s="124"/>
      <c r="AD38" s="124"/>
      <c r="AE38" s="127"/>
      <c r="AF38" s="127"/>
      <c r="AG38" s="127"/>
      <c r="AH38" s="129"/>
      <c r="AI38" s="130"/>
      <c r="AJ38" s="125"/>
      <c r="AL38" s="54">
        <f t="shared" si="1"/>
        <v>0.68000000000000027</v>
      </c>
      <c r="AM38" s="50">
        <v>0</v>
      </c>
      <c r="AN38" s="50">
        <v>0</v>
      </c>
      <c r="AO38" s="50">
        <v>0</v>
      </c>
      <c r="AP38" s="50">
        <v>0</v>
      </c>
    </row>
    <row r="39" spans="2:42" ht="13" x14ac:dyDescent="0.3">
      <c r="H39" s="32"/>
      <c r="I39" s="32"/>
      <c r="J39" s="32"/>
      <c r="L39" s="67"/>
      <c r="M39" s="67"/>
      <c r="N39" s="67"/>
      <c r="O39" s="67"/>
      <c r="S39" s="50">
        <v>4.4355592092399352</v>
      </c>
      <c r="T39" s="50">
        <v>5.6755226212138741</v>
      </c>
      <c r="U39" s="50">
        <v>3.9284367707898888</v>
      </c>
      <c r="V39" s="50">
        <v>5.6115024862712195</v>
      </c>
      <c r="W39" s="50">
        <v>0.90115248691338667</v>
      </c>
      <c r="X39" s="50">
        <v>0.94856659455820558</v>
      </c>
      <c r="Y39" s="50">
        <v>0.99387638324505967</v>
      </c>
      <c r="Z39" s="50">
        <v>0.79206310971138705</v>
      </c>
      <c r="AB39" s="125"/>
      <c r="AC39" s="124"/>
      <c r="AD39" s="124"/>
      <c r="AE39" s="127"/>
      <c r="AF39" s="127"/>
      <c r="AG39" s="127"/>
      <c r="AH39" s="129"/>
      <c r="AI39" s="130"/>
      <c r="AJ39" s="125"/>
      <c r="AL39" s="54">
        <f t="shared" si="1"/>
        <v>0.70000000000000029</v>
      </c>
      <c r="AM39" s="50">
        <v>0</v>
      </c>
      <c r="AN39" s="50">
        <v>0</v>
      </c>
      <c r="AO39" s="50">
        <v>0</v>
      </c>
      <c r="AP39" s="50">
        <v>0</v>
      </c>
    </row>
    <row r="40" spans="2:42" ht="13" x14ac:dyDescent="0.3">
      <c r="H40" s="32"/>
      <c r="I40" s="32"/>
      <c r="J40" s="32"/>
      <c r="L40" s="67"/>
      <c r="M40" s="67"/>
      <c r="N40" s="67"/>
      <c r="O40" s="67"/>
      <c r="Q40" s="1"/>
      <c r="R40" s="1"/>
      <c r="S40" s="50">
        <v>2.6795842261697835</v>
      </c>
      <c r="T40" s="50">
        <v>3.2769438714177537</v>
      </c>
      <c r="U40" s="50">
        <v>2.7145249063098347</v>
      </c>
      <c r="V40" s="50">
        <v>2.5052576599875942</v>
      </c>
      <c r="W40" s="50">
        <v>0.89802482847179566</v>
      </c>
      <c r="X40" s="50">
        <v>0.92677964356523623</v>
      </c>
      <c r="Y40" s="50">
        <v>0.98930392196233585</v>
      </c>
      <c r="Z40" s="50">
        <v>0.82099328771872315</v>
      </c>
      <c r="AB40" s="125"/>
      <c r="AC40" s="124"/>
      <c r="AD40" s="125"/>
      <c r="AE40" s="127"/>
      <c r="AF40" s="127"/>
      <c r="AG40" s="127"/>
      <c r="AH40" s="129"/>
      <c r="AI40" s="130"/>
      <c r="AJ40" s="125"/>
      <c r="AL40" s="54">
        <f t="shared" si="1"/>
        <v>0.72000000000000031</v>
      </c>
      <c r="AM40" s="50">
        <v>0</v>
      </c>
      <c r="AN40" s="50">
        <v>0</v>
      </c>
      <c r="AO40" s="50">
        <v>0</v>
      </c>
      <c r="AP40" s="50">
        <v>0</v>
      </c>
    </row>
    <row r="41" spans="2:42" ht="13" x14ac:dyDescent="0.3">
      <c r="H41" s="32"/>
      <c r="I41" s="32"/>
      <c r="J41" s="32"/>
      <c r="L41" s="67"/>
      <c r="M41" s="67"/>
      <c r="N41" s="67"/>
      <c r="O41" s="67"/>
      <c r="S41" s="50">
        <v>182.08510017644022</v>
      </c>
      <c r="T41" s="50">
        <v>249.93735499941153</v>
      </c>
      <c r="U41" s="50">
        <v>142.56687867221922</v>
      </c>
      <c r="V41" s="50">
        <v>202.89097610503532</v>
      </c>
      <c r="W41" s="50">
        <v>0.85678469274591429</v>
      </c>
      <c r="X41" s="50">
        <v>0.92263784960090811</v>
      </c>
      <c r="Y41" s="50">
        <v>0.98631299617913493</v>
      </c>
      <c r="Z41" s="50">
        <v>0.7487857490724007</v>
      </c>
      <c r="AB41" s="125"/>
      <c r="AC41" s="124"/>
      <c r="AD41" s="125"/>
      <c r="AE41" s="127"/>
      <c r="AF41" s="127"/>
      <c r="AG41" s="127"/>
      <c r="AH41" s="129"/>
      <c r="AI41" s="130"/>
      <c r="AJ41" s="125"/>
      <c r="AL41" s="54">
        <f t="shared" si="1"/>
        <v>0.74000000000000032</v>
      </c>
      <c r="AM41" s="50">
        <v>0</v>
      </c>
      <c r="AN41" s="50">
        <v>0</v>
      </c>
      <c r="AO41" s="50">
        <v>0</v>
      </c>
      <c r="AP41" s="50">
        <v>0</v>
      </c>
    </row>
    <row r="42" spans="2:42" ht="13" x14ac:dyDescent="0.3">
      <c r="H42" s="32"/>
      <c r="I42" s="32"/>
      <c r="J42" s="32"/>
      <c r="L42" s="67"/>
      <c r="M42" s="67"/>
      <c r="N42" s="67"/>
      <c r="O42" s="67"/>
      <c r="S42" s="50">
        <v>3.022619150602369</v>
      </c>
      <c r="T42" s="50">
        <v>3.7892702242450023</v>
      </c>
      <c r="U42" s="50">
        <v>3.0558889903207667</v>
      </c>
      <c r="V42" s="50">
        <v>3.2655553091985317</v>
      </c>
      <c r="W42" s="50">
        <v>0.85728941408696757</v>
      </c>
      <c r="X42" s="50">
        <v>0.88270622099731211</v>
      </c>
      <c r="Y42" s="50">
        <v>0.98916638267148804</v>
      </c>
      <c r="Z42" s="50">
        <v>0.81084796211337273</v>
      </c>
      <c r="AH42" s="57"/>
      <c r="AI42" s="28"/>
      <c r="AL42" s="54">
        <f t="shared" si="1"/>
        <v>0.76000000000000034</v>
      </c>
      <c r="AM42" s="50">
        <v>0</v>
      </c>
      <c r="AN42" s="50">
        <v>0</v>
      </c>
      <c r="AO42" s="50">
        <v>0</v>
      </c>
      <c r="AP42" s="50">
        <v>2</v>
      </c>
    </row>
    <row r="43" spans="2:42" ht="13" x14ac:dyDescent="0.3">
      <c r="H43" s="32"/>
      <c r="I43" s="32"/>
      <c r="J43" s="32"/>
      <c r="L43" s="67"/>
      <c r="M43" s="67"/>
      <c r="N43" s="67"/>
      <c r="O43" s="67"/>
      <c r="S43" s="50">
        <v>1.6372869909235632</v>
      </c>
      <c r="T43" s="50">
        <v>1.8585576579533967</v>
      </c>
      <c r="U43" s="50">
        <v>1.7524027022216364</v>
      </c>
      <c r="V43" s="50">
        <v>1.7503488586444909</v>
      </c>
      <c r="W43" s="50">
        <v>0.92432096463539815</v>
      </c>
      <c r="X43" s="50">
        <v>0.97749747743171023</v>
      </c>
      <c r="Y43" s="50">
        <v>0.99290199857792549</v>
      </c>
      <c r="Z43" s="50">
        <v>0.88327383236046852</v>
      </c>
      <c r="AH43" s="57"/>
      <c r="AI43" s="28"/>
      <c r="AL43" s="54">
        <f t="shared" si="1"/>
        <v>0.78000000000000036</v>
      </c>
      <c r="AM43" s="50">
        <v>0</v>
      </c>
      <c r="AN43" s="50">
        <v>0</v>
      </c>
      <c r="AO43" s="50">
        <v>0</v>
      </c>
      <c r="AP43" s="50">
        <v>6</v>
      </c>
    </row>
    <row r="44" spans="2:42" ht="13" x14ac:dyDescent="0.3">
      <c r="H44" s="32"/>
      <c r="I44" s="32"/>
      <c r="J44" s="32"/>
      <c r="L44" s="67"/>
      <c r="M44" s="67"/>
      <c r="N44" s="67"/>
      <c r="O44" s="67"/>
      <c r="AH44" s="57"/>
      <c r="AI44" s="28"/>
      <c r="AL44" s="54">
        <f t="shared" si="1"/>
        <v>0.80000000000000038</v>
      </c>
      <c r="AM44" s="50">
        <v>0</v>
      </c>
      <c r="AN44" s="50">
        <v>0</v>
      </c>
      <c r="AO44" s="50">
        <v>0</v>
      </c>
      <c r="AP44" s="50">
        <v>4</v>
      </c>
    </row>
    <row r="45" spans="2:42" ht="13" x14ac:dyDescent="0.3">
      <c r="H45" s="32"/>
      <c r="I45" s="32"/>
      <c r="J45" s="32"/>
      <c r="L45" s="67"/>
      <c r="M45" s="67"/>
      <c r="N45" s="67"/>
      <c r="O45" s="67"/>
      <c r="S45" s="50">
        <v>1.1261334534685989</v>
      </c>
      <c r="T45" s="50">
        <v>1.1762727889227842</v>
      </c>
      <c r="U45" s="50">
        <v>1.2805801139160793</v>
      </c>
      <c r="V45" s="50">
        <v>1.1473866662375118</v>
      </c>
      <c r="W45" s="50">
        <v>0.84133197110192715</v>
      </c>
      <c r="X45" s="50">
        <v>0.89065308096982043</v>
      </c>
      <c r="Y45" s="50">
        <v>0.99416092998334171</v>
      </c>
      <c r="Z45" s="50">
        <v>0.96353329993468273</v>
      </c>
      <c r="AH45" s="57"/>
      <c r="AI45" s="28"/>
      <c r="AL45" s="54">
        <f t="shared" si="1"/>
        <v>0.8200000000000004</v>
      </c>
      <c r="AM45" s="50">
        <v>4</v>
      </c>
      <c r="AN45" s="50">
        <v>0</v>
      </c>
      <c r="AO45" s="50">
        <v>0</v>
      </c>
      <c r="AP45" s="50">
        <v>4</v>
      </c>
    </row>
    <row r="46" spans="2:42" ht="13" x14ac:dyDescent="0.3">
      <c r="B46" s="21" t="s">
        <v>9</v>
      </c>
      <c r="C46" s="21"/>
      <c r="D46" s="21"/>
      <c r="E46" s="21"/>
      <c r="F46" s="21"/>
      <c r="G46" s="21"/>
      <c r="H46" s="21"/>
      <c r="I46" s="21"/>
      <c r="J46" s="21"/>
      <c r="K46" s="21"/>
      <c r="L46" s="21"/>
      <c r="M46" s="21"/>
      <c r="N46" s="21"/>
      <c r="O46" s="21"/>
      <c r="P46" s="21"/>
      <c r="S46" s="50">
        <v>2.4703538904868521</v>
      </c>
      <c r="T46" s="50">
        <v>3.0235994159114257</v>
      </c>
      <c r="U46" s="50">
        <v>2.4010630033770166</v>
      </c>
      <c r="V46" s="50">
        <v>2.7744081924975443</v>
      </c>
      <c r="W46" s="50">
        <v>0.85803785752033435</v>
      </c>
      <c r="X46" s="50">
        <v>0.8978465035146459</v>
      </c>
      <c r="Y46" s="50">
        <v>0.98774663066743662</v>
      </c>
      <c r="Z46" s="50">
        <v>0.82812470465981747</v>
      </c>
      <c r="AL46" s="54">
        <f t="shared" si="1"/>
        <v>0.84000000000000041</v>
      </c>
      <c r="AM46" s="50">
        <v>9</v>
      </c>
      <c r="AN46" s="50">
        <v>0</v>
      </c>
      <c r="AO46" s="50">
        <v>0</v>
      </c>
      <c r="AP46" s="50">
        <v>7</v>
      </c>
    </row>
    <row r="47" spans="2:42" ht="13" x14ac:dyDescent="0.3">
      <c r="B47" s="281"/>
      <c r="C47" s="281"/>
      <c r="D47" s="281"/>
      <c r="E47" s="281"/>
      <c r="F47" s="281"/>
      <c r="G47" s="281"/>
      <c r="H47" s="281"/>
      <c r="I47" s="281"/>
      <c r="J47" s="281"/>
      <c r="K47" s="281"/>
      <c r="L47" s="281"/>
      <c r="M47" s="281"/>
      <c r="N47" s="281"/>
      <c r="O47" s="281"/>
      <c r="P47" s="281"/>
      <c r="S47" s="50">
        <v>1.0435421232377584</v>
      </c>
      <c r="T47" s="50">
        <v>1.0598150330700065</v>
      </c>
      <c r="U47" s="50">
        <v>1.1363735345069796</v>
      </c>
      <c r="V47" s="50">
        <v>1.0345003209505865</v>
      </c>
      <c r="W47" s="50">
        <v>0.87613907654760437</v>
      </c>
      <c r="X47" s="50">
        <v>0.89908938545845407</v>
      </c>
      <c r="Y47" s="50">
        <v>0.9929512605434454</v>
      </c>
      <c r="Z47" s="50">
        <v>0.97588976954026652</v>
      </c>
      <c r="AL47" s="54">
        <f t="shared" si="1"/>
        <v>0.86000000000000043</v>
      </c>
      <c r="AM47" s="50">
        <v>11</v>
      </c>
      <c r="AN47" s="50">
        <v>0</v>
      </c>
      <c r="AO47" s="50">
        <v>0</v>
      </c>
      <c r="AP47" s="50">
        <v>4</v>
      </c>
    </row>
    <row r="48" spans="2:42" x14ac:dyDescent="0.25">
      <c r="B48" s="277"/>
      <c r="C48" s="277"/>
      <c r="D48" s="277"/>
      <c r="E48" s="277"/>
      <c r="F48" s="277"/>
      <c r="G48" s="277"/>
      <c r="H48" s="277"/>
      <c r="I48" s="277"/>
      <c r="J48" s="277"/>
      <c r="K48" s="277"/>
      <c r="L48" s="277"/>
      <c r="M48" s="277"/>
      <c r="N48" s="277"/>
      <c r="O48" s="277"/>
      <c r="P48" s="277"/>
      <c r="S48" s="50">
        <v>1.9840325653482433</v>
      </c>
      <c r="T48" s="50">
        <v>2.3807264212813908</v>
      </c>
      <c r="U48" s="50">
        <v>1.927776046363791</v>
      </c>
      <c r="V48" s="50">
        <v>2.1353579490037311</v>
      </c>
      <c r="W48" s="50">
        <v>0.82761864985920752</v>
      </c>
      <c r="X48" s="50">
        <v>0.860899171550501</v>
      </c>
      <c r="Y48" s="50">
        <v>0.99199291588455507</v>
      </c>
      <c r="Z48" s="50">
        <v>0.85084905563264823</v>
      </c>
      <c r="AL48" s="54">
        <f t="shared" si="1"/>
        <v>0.88000000000000045</v>
      </c>
      <c r="AM48" s="50">
        <v>19</v>
      </c>
      <c r="AN48" s="50">
        <v>3</v>
      </c>
      <c r="AO48" s="50">
        <v>0</v>
      </c>
      <c r="AP48" s="50">
        <v>4</v>
      </c>
    </row>
    <row r="49" spans="2:42" x14ac:dyDescent="0.25">
      <c r="B49" s="277"/>
      <c r="C49" s="277"/>
      <c r="D49" s="277"/>
      <c r="E49" s="277"/>
      <c r="F49" s="277"/>
      <c r="G49" s="277"/>
      <c r="H49" s="277"/>
      <c r="I49" s="277"/>
      <c r="J49" s="277"/>
      <c r="K49" s="277"/>
      <c r="L49" s="277"/>
      <c r="M49" s="277"/>
      <c r="N49" s="277"/>
      <c r="O49" s="277"/>
      <c r="P49" s="277"/>
      <c r="S49" s="50">
        <v>1.7809154265168363</v>
      </c>
      <c r="T49" s="50">
        <v>2.0906799094023296</v>
      </c>
      <c r="U49" s="50">
        <v>1.8979001497616173</v>
      </c>
      <c r="V49" s="50">
        <v>2.3125870439215026</v>
      </c>
      <c r="W49" s="50">
        <v>0.83434467315098404</v>
      </c>
      <c r="X49" s="50">
        <v>0.8986113981322742</v>
      </c>
      <c r="Y49" s="50">
        <v>0.99088602697421946</v>
      </c>
      <c r="Z49" s="50">
        <v>0.87042179582374501</v>
      </c>
      <c r="AL49" s="54">
        <f t="shared" si="1"/>
        <v>0.90000000000000047</v>
      </c>
      <c r="AM49" s="50">
        <v>11</v>
      </c>
      <c r="AN49" s="50">
        <v>23</v>
      </c>
      <c r="AO49" s="50">
        <v>0</v>
      </c>
      <c r="AP49" s="50">
        <v>6</v>
      </c>
    </row>
    <row r="50" spans="2:42" x14ac:dyDescent="0.25">
      <c r="B50" s="10"/>
      <c r="C50" s="10"/>
      <c r="D50" s="10"/>
      <c r="E50" s="10"/>
      <c r="F50" s="10"/>
      <c r="G50" s="10"/>
      <c r="H50" s="10"/>
      <c r="I50" s="10"/>
      <c r="J50" s="10"/>
      <c r="K50" s="10"/>
      <c r="L50" s="10"/>
      <c r="M50" s="10"/>
      <c r="N50" s="10"/>
      <c r="O50" s="10"/>
      <c r="P50" s="10"/>
      <c r="S50" s="50">
        <v>10.379748124996999</v>
      </c>
      <c r="T50" s="50">
        <v>13.838351777851104</v>
      </c>
      <c r="U50" s="50">
        <v>9.2188817465899753</v>
      </c>
      <c r="V50" s="50">
        <v>19.216324964295374</v>
      </c>
      <c r="W50" s="50">
        <v>0.88084241251392537</v>
      </c>
      <c r="X50" s="50">
        <v>0.92928808780626482</v>
      </c>
      <c r="Y50" s="50">
        <v>0.99152416387886255</v>
      </c>
      <c r="Z50" s="50">
        <v>0.76582157195331635</v>
      </c>
      <c r="AL50" s="54">
        <f t="shared" si="1"/>
        <v>0.92000000000000048</v>
      </c>
      <c r="AM50" s="50">
        <v>10</v>
      </c>
      <c r="AN50" s="50">
        <v>11</v>
      </c>
      <c r="AO50" s="50">
        <v>0</v>
      </c>
      <c r="AP50" s="50">
        <v>9</v>
      </c>
    </row>
    <row r="51" spans="2:42" x14ac:dyDescent="0.25">
      <c r="B51" s="131" t="s">
        <v>195</v>
      </c>
      <c r="AL51" s="54">
        <f t="shared" si="1"/>
        <v>0.9400000000000005</v>
      </c>
      <c r="AM51" s="50">
        <v>5</v>
      </c>
      <c r="AN51" s="50">
        <v>12</v>
      </c>
      <c r="AO51" s="50">
        <v>0</v>
      </c>
      <c r="AP51" s="50">
        <v>3</v>
      </c>
    </row>
    <row r="52" spans="2:42" x14ac:dyDescent="0.25">
      <c r="S52" s="50">
        <v>1.4316546458294184</v>
      </c>
      <c r="T52" s="50">
        <v>1.5958221336936804</v>
      </c>
      <c r="U52" s="50">
        <v>1.2563367274497055</v>
      </c>
      <c r="V52" s="50">
        <v>1.4590342351876557</v>
      </c>
      <c r="W52" s="50">
        <v>0.86603988635984719</v>
      </c>
      <c r="X52" s="50">
        <v>0.91209800827576826</v>
      </c>
      <c r="Y52" s="50">
        <v>0.99328163854872542</v>
      </c>
      <c r="Z52" s="50">
        <v>0.90504505278249048</v>
      </c>
      <c r="AL52" s="54">
        <f t="shared" si="1"/>
        <v>0.96000000000000052</v>
      </c>
      <c r="AM52" s="50">
        <v>0</v>
      </c>
      <c r="AN52" s="50">
        <v>11</v>
      </c>
      <c r="AO52" s="50">
        <v>0</v>
      </c>
      <c r="AP52" s="50">
        <v>7</v>
      </c>
    </row>
    <row r="53" spans="2:42" x14ac:dyDescent="0.25">
      <c r="S53" s="50">
        <v>1.3806247204889366</v>
      </c>
      <c r="T53" s="50">
        <v>1.5204211549875659</v>
      </c>
      <c r="U53" s="50">
        <v>1.3473715952022478</v>
      </c>
      <c r="V53" s="50">
        <v>1.6896511115299422</v>
      </c>
      <c r="W53" s="50">
        <v>0.87980831733137943</v>
      </c>
      <c r="X53" s="50">
        <v>0.9418923477610659</v>
      </c>
      <c r="Y53" s="50">
        <v>0.9902205590955977</v>
      </c>
      <c r="Z53" s="50">
        <v>0.91438199999384318</v>
      </c>
      <c r="AL53" s="54">
        <f t="shared" si="1"/>
        <v>0.98000000000000054</v>
      </c>
      <c r="AM53" s="50">
        <v>0</v>
      </c>
      <c r="AN53" s="50">
        <v>9</v>
      </c>
      <c r="AO53" s="50">
        <v>0</v>
      </c>
      <c r="AP53" s="50">
        <v>9</v>
      </c>
    </row>
    <row r="54" spans="2:42" x14ac:dyDescent="0.25">
      <c r="AL54" s="54">
        <v>1</v>
      </c>
      <c r="AM54" s="50">
        <v>0</v>
      </c>
      <c r="AN54" s="50">
        <v>0</v>
      </c>
      <c r="AO54" s="50">
        <v>69</v>
      </c>
      <c r="AP54" s="50">
        <v>4</v>
      </c>
    </row>
    <row r="55" spans="2:42" x14ac:dyDescent="0.25">
      <c r="S55" s="50">
        <v>1.4343490435278856</v>
      </c>
      <c r="T55" s="50">
        <v>1.5856352337712971</v>
      </c>
      <c r="U55" s="50">
        <v>1.5150307284381501</v>
      </c>
      <c r="V55" s="50">
        <v>1.5960498520990458</v>
      </c>
      <c r="W55" s="50">
        <v>0.93181640594473836</v>
      </c>
      <c r="X55" s="50">
        <v>0.97307145939363904</v>
      </c>
      <c r="Y55" s="50">
        <v>0.99626046969955973</v>
      </c>
      <c r="Z55" s="50">
        <v>0.90612530186850504</v>
      </c>
    </row>
    <row r="56" spans="2:42" x14ac:dyDescent="0.25">
      <c r="S56" s="50">
        <v>1.6944287350143208</v>
      </c>
      <c r="T56" s="50">
        <v>1.9519454308830855</v>
      </c>
      <c r="U56" s="50">
        <v>1.6851565247483664</v>
      </c>
      <c r="V56" s="50">
        <v>1.6374953867565338</v>
      </c>
      <c r="W56" s="50">
        <v>0.8633296463391037</v>
      </c>
      <c r="X56" s="50">
        <v>0.88071592726178149</v>
      </c>
      <c r="Y56" s="50">
        <v>0.98636923542682009</v>
      </c>
      <c r="Z56" s="50">
        <v>0.86718305585852795</v>
      </c>
    </row>
    <row r="57" spans="2:42" x14ac:dyDescent="0.25">
      <c r="C57" s="50"/>
      <c r="S57" s="50">
        <v>1.6686707718781795</v>
      </c>
      <c r="T57" s="50">
        <v>1.927783062110981</v>
      </c>
      <c r="U57" s="50">
        <v>1.468198064709421</v>
      </c>
      <c r="V57" s="50">
        <v>2.0130359232662736</v>
      </c>
      <c r="W57" s="50">
        <v>0.8531075211679503</v>
      </c>
      <c r="X57" s="50">
        <v>0.90614999086940207</v>
      </c>
      <c r="Y57" s="50">
        <v>0.99274157077657676</v>
      </c>
      <c r="Z57" s="50">
        <v>0.87922723706014139</v>
      </c>
    </row>
    <row r="58" spans="2:42" x14ac:dyDescent="0.25">
      <c r="B58" s="50"/>
      <c r="C58" s="50"/>
    </row>
    <row r="59" spans="2:42" x14ac:dyDescent="0.25">
      <c r="S59" s="50">
        <v>12.371724109231423</v>
      </c>
      <c r="T59" s="50">
        <v>16.255757634581155</v>
      </c>
      <c r="U59" s="50">
        <v>9.6798731102498579</v>
      </c>
      <c r="V59" s="50">
        <v>11.37684658262221</v>
      </c>
      <c r="W59" s="50">
        <v>0.91132490739869199</v>
      </c>
      <c r="X59" s="50">
        <v>0.97417302882735912</v>
      </c>
      <c r="Y59" s="50">
        <v>0.98461279230524013</v>
      </c>
      <c r="Z59" s="50">
        <v>0.76294974310004715</v>
      </c>
    </row>
    <row r="62" spans="2:42" x14ac:dyDescent="0.25">
      <c r="S62" s="50">
        <v>1.5219356187409059</v>
      </c>
      <c r="T62" s="50">
        <v>1.7283029899941453</v>
      </c>
      <c r="U62" s="50">
        <v>1.7305776973997538</v>
      </c>
      <c r="V62" s="50">
        <v>1.5552485354845869</v>
      </c>
      <c r="W62" s="50">
        <v>0.84058153346334763</v>
      </c>
      <c r="X62" s="50">
        <v>0.91875863451963657</v>
      </c>
      <c r="Y62" s="50">
        <v>0.99259579901163264</v>
      </c>
      <c r="Z62" s="50">
        <v>0.90026668331145288</v>
      </c>
    </row>
    <row r="63" spans="2:42" x14ac:dyDescent="0.25">
      <c r="S63" s="50">
        <v>1.096341023950427</v>
      </c>
      <c r="T63" s="50">
        <v>1.1313599107793173</v>
      </c>
      <c r="U63" s="50">
        <v>1.0905236851702238</v>
      </c>
      <c r="V63" s="50">
        <v>1.0616315619990868</v>
      </c>
      <c r="W63" s="50">
        <v>0.90367452563076989</v>
      </c>
      <c r="X63" s="50">
        <v>0.95080156998497745</v>
      </c>
      <c r="Y63" s="50">
        <v>0.99648228469858391</v>
      </c>
      <c r="Z63" s="50">
        <v>0.97222459570097475</v>
      </c>
    </row>
    <row r="64" spans="2:42" x14ac:dyDescent="0.25">
      <c r="S64" s="50">
        <v>4.9513763195387233</v>
      </c>
      <c r="T64" s="50">
        <v>6.4277528009808229</v>
      </c>
      <c r="U64" s="50">
        <v>4.7023758709662156</v>
      </c>
      <c r="V64" s="50">
        <v>6.2749269595660335</v>
      </c>
      <c r="W64" s="50">
        <v>0.86301799591277306</v>
      </c>
      <c r="X64" s="50">
        <v>0.900287664684706</v>
      </c>
      <c r="Y64" s="50">
        <v>0.98799056631219417</v>
      </c>
      <c r="Z64" s="50">
        <v>0.7854519579879351</v>
      </c>
    </row>
    <row r="67" spans="19:26" x14ac:dyDescent="0.25">
      <c r="S67" s="50">
        <v>2.3127530669106404</v>
      </c>
      <c r="T67" s="50">
        <v>2.7703124280854734</v>
      </c>
      <c r="U67" s="50">
        <v>2.4236981551130632</v>
      </c>
      <c r="V67" s="50">
        <v>2.9405357164559658</v>
      </c>
      <c r="W67" s="50">
        <v>0.90803857721389236</v>
      </c>
      <c r="X67" s="50">
        <v>0.95882021818509644</v>
      </c>
      <c r="Y67" s="50">
        <v>0.9881405924397727</v>
      </c>
      <c r="Z67" s="50">
        <v>0.8366823321300666</v>
      </c>
    </row>
    <row r="68" spans="19:26" x14ac:dyDescent="0.25">
      <c r="S68" s="50">
        <v>4.4732269042019377</v>
      </c>
      <c r="T68" s="50">
        <v>5.68665288161883</v>
      </c>
      <c r="U68" s="50">
        <v>5.3520618854892703</v>
      </c>
      <c r="V68" s="50">
        <v>6.6623960178087005</v>
      </c>
      <c r="W68" s="50">
        <v>0.91246135692847874</v>
      </c>
      <c r="X68" s="50">
        <v>0.9488895807087443</v>
      </c>
      <c r="Y68" s="50">
        <v>0.99022812691948325</v>
      </c>
      <c r="Z68" s="50">
        <v>0.79058136028980197</v>
      </c>
    </row>
    <row r="69" spans="19:26" x14ac:dyDescent="0.25">
      <c r="S69" s="50">
        <v>1.1462110117485724</v>
      </c>
      <c r="T69" s="50">
        <v>1.1967823556861552</v>
      </c>
      <c r="U69" s="50">
        <v>1.1097736340855797</v>
      </c>
      <c r="V69" s="50">
        <v>1.2793280831988807</v>
      </c>
      <c r="W69" s="50">
        <v>0.92328948420078505</v>
      </c>
      <c r="X69" s="50">
        <v>0.96209692388218826</v>
      </c>
      <c r="Y69" s="50">
        <v>0.99164102934892462</v>
      </c>
      <c r="Z69" s="50">
        <v>0.95294068771538443</v>
      </c>
    </row>
    <row r="70" spans="19:26" x14ac:dyDescent="0.25">
      <c r="S70" s="50">
        <v>1.094416409617148</v>
      </c>
      <c r="T70" s="50">
        <v>1.1332314867516244</v>
      </c>
      <c r="U70" s="50">
        <v>1.0676349982995588</v>
      </c>
      <c r="V70" s="50">
        <v>1.1422069495078184</v>
      </c>
      <c r="W70" s="50">
        <v>0.82600242964200299</v>
      </c>
      <c r="X70" s="50">
        <v>0.88805078963963469</v>
      </c>
      <c r="Y70" s="50">
        <v>0.99598655876811737</v>
      </c>
      <c r="Z70" s="50">
        <v>0.9784428403408878</v>
      </c>
    </row>
    <row r="72" spans="19:26" x14ac:dyDescent="0.25">
      <c r="S72" s="50">
        <v>1.2084664140491694</v>
      </c>
      <c r="T72" s="50">
        <v>1.2905577919695177</v>
      </c>
      <c r="U72" s="50">
        <v>1.3219409011568237</v>
      </c>
      <c r="V72" s="50">
        <v>1.6897577832631516</v>
      </c>
      <c r="W72" s="50">
        <v>0.85324315133884443</v>
      </c>
      <c r="X72" s="50">
        <v>0.89742141294535616</v>
      </c>
      <c r="Y72" s="50">
        <v>0.99662554158040961</v>
      </c>
      <c r="Z72" s="50">
        <v>0.94465077753184501</v>
      </c>
    </row>
    <row r="73" spans="19:26" x14ac:dyDescent="0.25">
      <c r="S73" s="50">
        <v>1.0938234217286271</v>
      </c>
      <c r="T73" s="50">
        <v>1.1278178187976458</v>
      </c>
      <c r="U73" s="50">
        <v>1.0510703465622842</v>
      </c>
      <c r="V73" s="50">
        <v>1.0874293549692726</v>
      </c>
      <c r="W73" s="50">
        <v>0.89070815512409318</v>
      </c>
      <c r="X73" s="50">
        <v>0.9397588934070098</v>
      </c>
      <c r="Y73" s="50">
        <v>0.99101469285221666</v>
      </c>
      <c r="Z73" s="50">
        <v>0.96865988004967563</v>
      </c>
    </row>
    <row r="74" spans="19:26" x14ac:dyDescent="0.25">
      <c r="S74" s="50">
        <v>1.6360103312803895</v>
      </c>
      <c r="T74" s="50">
        <v>1.8571632921962511</v>
      </c>
      <c r="U74" s="50">
        <v>1.8477688256300948</v>
      </c>
      <c r="V74" s="50">
        <v>1.8893881668666603</v>
      </c>
      <c r="W74" s="50">
        <v>0.91853810548624326</v>
      </c>
      <c r="X74" s="50">
        <v>0.97705975171578585</v>
      </c>
      <c r="Y74" s="50">
        <v>0.9912396908274087</v>
      </c>
      <c r="Z74" s="50">
        <v>0.88349350877589905</v>
      </c>
    </row>
    <row r="75" spans="19:26" x14ac:dyDescent="0.25">
      <c r="S75" s="50">
        <v>1.1116820684902067</v>
      </c>
      <c r="T75" s="50">
        <v>1.1527647839581596</v>
      </c>
      <c r="U75" s="50">
        <v>1.1253833478438195</v>
      </c>
      <c r="V75" s="50">
        <v>1.2544967798631701</v>
      </c>
      <c r="W75" s="50">
        <v>0.89730049831705971</v>
      </c>
      <c r="X75" s="50">
        <v>0.9547617435187632</v>
      </c>
      <c r="Y75" s="50">
        <v>0.99701951022289637</v>
      </c>
      <c r="Z75" s="50">
        <v>0.97196619238735016</v>
      </c>
    </row>
    <row r="76" spans="19:26" x14ac:dyDescent="0.25">
      <c r="S76" s="50">
        <v>2.9508704477750407</v>
      </c>
      <c r="T76" s="50">
        <v>3.6817330495000382</v>
      </c>
      <c r="U76" s="50">
        <v>2.8417343305000951</v>
      </c>
      <c r="V76" s="50">
        <v>3.150800613258085</v>
      </c>
      <c r="W76" s="50">
        <v>0.86236578640965666</v>
      </c>
      <c r="X76" s="50">
        <v>0.92423954781206619</v>
      </c>
      <c r="Y76" s="50">
        <v>0.98836457538873768</v>
      </c>
      <c r="Z76" s="50">
        <v>0.8161619797031604</v>
      </c>
    </row>
    <row r="77" spans="19:26" x14ac:dyDescent="0.25">
      <c r="S77" s="50">
        <v>2.4220747652474199</v>
      </c>
      <c r="T77" s="50">
        <v>2.998328635305302</v>
      </c>
      <c r="U77" s="50">
        <v>2.9507407522886866</v>
      </c>
      <c r="V77" s="50">
        <v>3.3086017168074457</v>
      </c>
      <c r="W77" s="50">
        <v>0.81941257881496088</v>
      </c>
      <c r="X77" s="50">
        <v>0.89104193845268986</v>
      </c>
      <c r="Y77" s="50">
        <v>0.98988830218549195</v>
      </c>
      <c r="Z77" s="50">
        <v>0.83411678874936546</v>
      </c>
    </row>
    <row r="78" spans="19:26" x14ac:dyDescent="0.25">
      <c r="S78" s="50">
        <v>1.0282923124614296</v>
      </c>
      <c r="T78" s="50">
        <v>1.0387201096517935</v>
      </c>
      <c r="U78" s="50">
        <v>0.97158236758555694</v>
      </c>
      <c r="V78" s="50">
        <v>1.0609360831437271</v>
      </c>
      <c r="W78" s="50">
        <v>0.89748077922625458</v>
      </c>
      <c r="X78" s="50">
        <v>0.94728798067572695</v>
      </c>
      <c r="Y78" s="50">
        <v>0.9975562718448715</v>
      </c>
      <c r="Z78" s="50">
        <v>0.99441487803726403</v>
      </c>
    </row>
    <row r="79" spans="19:26" x14ac:dyDescent="0.25">
      <c r="S79" s="50">
        <v>1.2522905436837763</v>
      </c>
      <c r="T79" s="50">
        <v>1.3442425303050345</v>
      </c>
      <c r="U79" s="50">
        <v>1.0735765998486884</v>
      </c>
      <c r="V79" s="50">
        <v>1.3136426868143916</v>
      </c>
      <c r="W79" s="50">
        <v>0.89478546099812417</v>
      </c>
      <c r="X79" s="50">
        <v>0.91638304247637725</v>
      </c>
      <c r="Y79" s="50">
        <v>0.99388933931511059</v>
      </c>
      <c r="Z79" s="50">
        <v>0.92785743610793414</v>
      </c>
    </row>
    <row r="80" spans="19:26" x14ac:dyDescent="0.25">
      <c r="S80" s="50">
        <v>1.3423330931782436</v>
      </c>
      <c r="T80" s="50">
        <v>1.473090118189607</v>
      </c>
      <c r="U80" s="50">
        <v>1.3516898113837812</v>
      </c>
      <c r="V80" s="50">
        <v>1.5189604737143141</v>
      </c>
      <c r="W80" s="50">
        <v>0.86721426671234858</v>
      </c>
      <c r="X80" s="50">
        <v>0.92447732256268189</v>
      </c>
      <c r="Y80" s="50">
        <v>0.99474938121572876</v>
      </c>
      <c r="Z80" s="50">
        <v>0.92209088261767957</v>
      </c>
    </row>
    <row r="81" spans="19:26" x14ac:dyDescent="0.25">
      <c r="S81" s="50">
        <v>5.1802316631145793</v>
      </c>
      <c r="T81" s="50">
        <v>6.7098112714486069</v>
      </c>
      <c r="U81" s="50">
        <v>4.420690792187993</v>
      </c>
      <c r="V81" s="50">
        <v>6.5896888109631186</v>
      </c>
      <c r="W81" s="50">
        <v>0.86863786292950484</v>
      </c>
      <c r="X81" s="50">
        <v>0.89880793251081248</v>
      </c>
      <c r="Y81" s="50">
        <v>0.98525909795511635</v>
      </c>
      <c r="Z81" s="50">
        <v>0.78304126120955764</v>
      </c>
    </row>
    <row r="82" spans="19:26" x14ac:dyDescent="0.25">
      <c r="S82" s="50">
        <v>1.0634223010542223</v>
      </c>
      <c r="T82" s="50">
        <v>1.0887300186876161</v>
      </c>
      <c r="U82" s="50">
        <v>1.0451776391137217</v>
      </c>
      <c r="V82" s="50">
        <v>1.0512551372787216</v>
      </c>
      <c r="W82" s="50">
        <v>0.83408577617630941</v>
      </c>
      <c r="X82" s="50">
        <v>0.89589084834326904</v>
      </c>
      <c r="Y82" s="50">
        <v>0.99218102901946137</v>
      </c>
      <c r="Z82" s="50">
        <v>0.98369542422209211</v>
      </c>
    </row>
    <row r="84" spans="19:26" x14ac:dyDescent="0.25">
      <c r="S84" s="50">
        <v>1.138110380939906</v>
      </c>
      <c r="T84" s="50">
        <v>1.1913588450320869</v>
      </c>
      <c r="U84" s="50">
        <v>1.1173100549010864</v>
      </c>
      <c r="V84" s="50">
        <v>1.0972462989533012</v>
      </c>
      <c r="W84" s="50">
        <v>0.85751370117617709</v>
      </c>
      <c r="X84" s="50">
        <v>0.88674185030903296</v>
      </c>
      <c r="Y84" s="50">
        <v>0.99324948833113924</v>
      </c>
      <c r="Z84" s="50">
        <v>0.95312619083971328</v>
      </c>
    </row>
    <row r="85" spans="19:26" x14ac:dyDescent="0.25">
      <c r="S85" s="50">
        <v>1.1960698678408976</v>
      </c>
      <c r="T85" s="50">
        <v>1.2676887699037731</v>
      </c>
      <c r="U85" s="50">
        <v>1.2109198986469016</v>
      </c>
      <c r="V85" s="50">
        <v>1.2430514239279948</v>
      </c>
      <c r="W85" s="50">
        <v>0.89602102192182864</v>
      </c>
      <c r="X85" s="50">
        <v>0.92671081145538803</v>
      </c>
      <c r="Y85" s="50">
        <v>0.99486412417513426</v>
      </c>
      <c r="Z85" s="50">
        <v>0.94212892889619071</v>
      </c>
    </row>
    <row r="87" spans="19:26" x14ac:dyDescent="0.25">
      <c r="S87" s="50">
        <v>1.2562905239695008</v>
      </c>
      <c r="T87" s="50">
        <v>1.3573077820480024</v>
      </c>
      <c r="U87" s="50">
        <v>1.3444062363571105</v>
      </c>
      <c r="V87" s="50">
        <v>1.4385693660089247</v>
      </c>
      <c r="W87" s="50">
        <v>0.84324204605571129</v>
      </c>
      <c r="X87" s="50">
        <v>0.91652079313071577</v>
      </c>
      <c r="Y87" s="50">
        <v>0.99290572017767609</v>
      </c>
      <c r="Z87" s="50">
        <v>0.9406885298197265</v>
      </c>
    </row>
    <row r="88" spans="19:26" x14ac:dyDescent="0.25">
      <c r="S88" s="50">
        <v>10.45710055662934</v>
      </c>
      <c r="T88" s="50">
        <v>13.684763787111679</v>
      </c>
      <c r="U88" s="50">
        <v>12.671709035320978</v>
      </c>
      <c r="V88" s="50">
        <v>15.771976170829126</v>
      </c>
      <c r="W88" s="50">
        <v>0.92150438221969644</v>
      </c>
      <c r="X88" s="50">
        <v>0.95026876420079665</v>
      </c>
      <c r="Y88" s="50">
        <v>0.98791560561463576</v>
      </c>
      <c r="Z88" s="50">
        <v>0.76518988978704328</v>
      </c>
    </row>
    <row r="89" spans="19:26" x14ac:dyDescent="0.25">
      <c r="S89" s="50">
        <v>1.3618837114637801</v>
      </c>
      <c r="T89" s="50">
        <v>1.5047738466173326</v>
      </c>
      <c r="U89" s="50">
        <v>1.3804337557619144</v>
      </c>
      <c r="V89" s="50">
        <v>1.7574388671792702</v>
      </c>
      <c r="W89" s="50">
        <v>0.83898411663335914</v>
      </c>
      <c r="X89" s="50">
        <v>0.89640173468960427</v>
      </c>
      <c r="Y89" s="50">
        <v>0.99164406871297106</v>
      </c>
      <c r="Z89" s="50">
        <v>0.91681342259604848</v>
      </c>
    </row>
    <row r="90" spans="19:26" x14ac:dyDescent="0.25">
      <c r="S90" s="50">
        <v>1.5188461433127964</v>
      </c>
      <c r="T90" s="50">
        <v>1.7308768159681911</v>
      </c>
      <c r="U90" s="50">
        <v>1.5549508608278944</v>
      </c>
      <c r="V90" s="50">
        <v>1.7876282623547242</v>
      </c>
      <c r="W90" s="50">
        <v>0.82445836321138988</v>
      </c>
      <c r="X90" s="50">
        <v>0.89213673613053124</v>
      </c>
      <c r="Y90" s="50">
        <v>0.99393008439957908</v>
      </c>
      <c r="Z90" s="50">
        <v>0.89886446747177717</v>
      </c>
    </row>
    <row r="94" spans="19:26" x14ac:dyDescent="0.25">
      <c r="S94" s="50">
        <v>1.3133625880063877</v>
      </c>
      <c r="T94" s="50">
        <v>1.429432444216324</v>
      </c>
      <c r="U94" s="50">
        <v>1.2282348803576935</v>
      </c>
      <c r="V94" s="50">
        <v>1.4592108521478708</v>
      </c>
      <c r="W94" s="50">
        <v>0.87493097661056884</v>
      </c>
      <c r="X94" s="50">
        <v>0.90922111105791714</v>
      </c>
      <c r="Y94" s="50">
        <v>0.99039904209468954</v>
      </c>
      <c r="Z94" s="50">
        <v>0.91802601318453114</v>
      </c>
    </row>
    <row r="95" spans="19:26" x14ac:dyDescent="0.25">
      <c r="S95" s="50">
        <v>5.8811487179101416</v>
      </c>
      <c r="T95" s="50">
        <v>7.7213913115261228</v>
      </c>
      <c r="U95" s="50">
        <v>5.2344062461435108</v>
      </c>
      <c r="V95" s="50">
        <v>5.6343365404609003</v>
      </c>
      <c r="W95" s="50">
        <v>0.85690384534358066</v>
      </c>
      <c r="X95" s="50">
        <v>0.89384320275468565</v>
      </c>
      <c r="Y95" s="50">
        <v>0.98777584805829655</v>
      </c>
      <c r="Z95" s="50">
        <v>0.77910906306246119</v>
      </c>
    </row>
    <row r="96" spans="19:26" x14ac:dyDescent="0.25">
      <c r="S96" s="50">
        <v>1.4508016496512481</v>
      </c>
      <c r="T96" s="50">
        <v>1.618097386238363</v>
      </c>
      <c r="U96" s="50">
        <v>1.5938228467554276</v>
      </c>
      <c r="V96" s="50">
        <v>1.5740979968749564</v>
      </c>
      <c r="W96" s="50">
        <v>0.86895818499597455</v>
      </c>
      <c r="X96" s="50">
        <v>0.91917554621931208</v>
      </c>
      <c r="Y96" s="50">
        <v>0.98862833806889505</v>
      </c>
      <c r="Z96" s="50">
        <v>0.90074567174104814</v>
      </c>
    </row>
    <row r="97" spans="19:26" x14ac:dyDescent="0.25">
      <c r="S97" s="50">
        <v>1.5847220714194028</v>
      </c>
      <c r="T97" s="50">
        <v>1.8114628464713531</v>
      </c>
      <c r="U97" s="50">
        <v>1.5643885151631338</v>
      </c>
      <c r="V97" s="50">
        <v>1.9599301904832271</v>
      </c>
      <c r="W97" s="50">
        <v>0.83777057713157388</v>
      </c>
      <c r="X97" s="50">
        <v>0.88534966520874125</v>
      </c>
      <c r="Y97" s="50">
        <v>0.98695995211701848</v>
      </c>
      <c r="Z97" s="50">
        <v>0.88331329981694306</v>
      </c>
    </row>
    <row r="98" spans="19:26" x14ac:dyDescent="0.25">
      <c r="S98" s="50">
        <v>1.3737079256898286</v>
      </c>
      <c r="T98" s="50">
        <v>1.5135383421400099</v>
      </c>
      <c r="U98" s="50">
        <v>1.2690270037357323</v>
      </c>
      <c r="V98" s="50">
        <v>1.574793155189889</v>
      </c>
      <c r="W98" s="50">
        <v>0.87623297961000923</v>
      </c>
      <c r="X98" s="50">
        <v>0.94612078114907583</v>
      </c>
      <c r="Y98" s="50">
        <v>0.99326624600717539</v>
      </c>
      <c r="Z98" s="50">
        <v>0.91932396149816631</v>
      </c>
    </row>
    <row r="99" spans="19:26" x14ac:dyDescent="0.25">
      <c r="S99" s="50">
        <v>2.351681596640161</v>
      </c>
      <c r="T99" s="50">
        <v>2.90876438140041</v>
      </c>
      <c r="U99" s="50">
        <v>2.6416626818913604</v>
      </c>
      <c r="V99" s="50">
        <v>3.4076958570921736</v>
      </c>
      <c r="W99" s="50">
        <v>0.81784777158197119</v>
      </c>
      <c r="X99" s="50">
        <v>0.89675109598832214</v>
      </c>
      <c r="Y99" s="50">
        <v>0.99322879357112881</v>
      </c>
      <c r="Z99" s="50">
        <v>0.8391038799317363</v>
      </c>
    </row>
    <row r="101" spans="19:26" x14ac:dyDescent="0.25">
      <c r="S101" s="50">
        <v>1.7322148881041013</v>
      </c>
      <c r="T101" s="50">
        <v>2.0004751437846826</v>
      </c>
      <c r="U101" s="50">
        <v>1.6907221328868738</v>
      </c>
      <c r="V101" s="50">
        <v>1.8077933194441478</v>
      </c>
      <c r="W101" s="50">
        <v>0.88353905439602787</v>
      </c>
      <c r="X101" s="50">
        <v>0.97270314782187983</v>
      </c>
      <c r="Y101" s="50">
        <v>0.99100620862439925</v>
      </c>
      <c r="Z101" s="50">
        <v>0.87973051514791534</v>
      </c>
    </row>
    <row r="102" spans="19:26" x14ac:dyDescent="0.25">
      <c r="S102" s="50">
        <v>3.3565874514533176</v>
      </c>
      <c r="T102" s="50">
        <v>4.1931424899664362</v>
      </c>
      <c r="U102" s="50">
        <v>3.6571633752103931</v>
      </c>
      <c r="V102" s="50">
        <v>4.5273933099360155</v>
      </c>
      <c r="W102" s="50">
        <v>0.90004497369871461</v>
      </c>
      <c r="X102" s="50">
        <v>0.93798546317345699</v>
      </c>
      <c r="Y102" s="50">
        <v>0.98958024320079585</v>
      </c>
      <c r="Z102" s="50">
        <v>0.80583671452075945</v>
      </c>
    </row>
    <row r="103" spans="19:26" x14ac:dyDescent="0.25">
      <c r="S103" s="50">
        <v>3.5292341057500312</v>
      </c>
      <c r="T103" s="50">
        <v>4.3999040030048224</v>
      </c>
      <c r="U103" s="50">
        <v>3.3111044634186317</v>
      </c>
      <c r="V103" s="50">
        <v>4.4200211908539861</v>
      </c>
      <c r="W103" s="50">
        <v>0.92591165324627711</v>
      </c>
      <c r="X103" s="50">
        <v>0.96802386122111839</v>
      </c>
      <c r="Y103" s="50">
        <v>0.99143108521512346</v>
      </c>
      <c r="Z103" s="50">
        <v>0.80378425335289339</v>
      </c>
    </row>
    <row r="104" spans="19:26" x14ac:dyDescent="0.25">
      <c r="S104" s="50">
        <v>1.4075377528137418</v>
      </c>
      <c r="T104" s="50">
        <v>1.5528019644974926</v>
      </c>
      <c r="U104" s="50">
        <v>1.3737616688358782</v>
      </c>
      <c r="V104" s="50">
        <v>1.5223595917359727</v>
      </c>
      <c r="W104" s="50">
        <v>0.90007455605966036</v>
      </c>
      <c r="X104" s="50">
        <v>0.93848763677606251</v>
      </c>
      <c r="Y104" s="50">
        <v>0.99054790884245447</v>
      </c>
      <c r="Z104" s="50">
        <v>0.90531263351379476</v>
      </c>
    </row>
    <row r="107" spans="19:26" x14ac:dyDescent="0.25">
      <c r="S107" s="50">
        <v>1.2441865830037808</v>
      </c>
      <c r="T107" s="50">
        <v>1.3306857639360641</v>
      </c>
      <c r="U107" s="50">
        <v>1.2731660821868347</v>
      </c>
      <c r="V107" s="50">
        <v>1.3470367472361111</v>
      </c>
      <c r="W107" s="50">
        <v>0.91068065264283493</v>
      </c>
      <c r="X107" s="50">
        <v>0.97635021275078537</v>
      </c>
      <c r="Y107" s="50">
        <v>0.99285414998824573</v>
      </c>
      <c r="Z107" s="50">
        <v>0.94054726746865991</v>
      </c>
    </row>
    <row r="110" spans="19:26" x14ac:dyDescent="0.25">
      <c r="S110" s="50">
        <v>1.105602967671778</v>
      </c>
      <c r="T110" s="50">
        <v>1.1495933128517113</v>
      </c>
      <c r="U110" s="50">
        <v>1.0985328253046995</v>
      </c>
      <c r="V110" s="50">
        <v>1.2088103583180529</v>
      </c>
      <c r="W110" s="50">
        <v>0.81317977916675843</v>
      </c>
      <c r="X110" s="50">
        <v>0.87784946313139145</v>
      </c>
      <c r="Y110" s="50">
        <v>0.99382466554725524</v>
      </c>
      <c r="Z110" s="50">
        <v>0.97448232944320179</v>
      </c>
    </row>
    <row r="111" spans="19:26" x14ac:dyDescent="0.25">
      <c r="S111" s="50">
        <v>1.134279266603651</v>
      </c>
      <c r="T111" s="50">
        <v>1.1845685459807933</v>
      </c>
      <c r="U111" s="50">
        <v>1.1869270652745043</v>
      </c>
      <c r="V111" s="50">
        <v>1.2619261556813366</v>
      </c>
      <c r="W111" s="50">
        <v>0.88794320112829594</v>
      </c>
      <c r="X111" s="50">
        <v>0.96444926666437325</v>
      </c>
      <c r="Y111" s="50">
        <v>0.99786845367287047</v>
      </c>
      <c r="Z111" s="50">
        <v>0.97295895225524431</v>
      </c>
    </row>
    <row r="113" spans="19:26" x14ac:dyDescent="0.25">
      <c r="S113" s="50">
        <v>2.226610473988059</v>
      </c>
      <c r="T113" s="50">
        <v>2.7149841162387292</v>
      </c>
      <c r="U113" s="50">
        <v>2.0809415255003865</v>
      </c>
      <c r="V113" s="50">
        <v>2.5961412475402095</v>
      </c>
      <c r="W113" s="50">
        <v>0.83381728999710858</v>
      </c>
      <c r="X113" s="50">
        <v>0.88615578077160528</v>
      </c>
      <c r="Y113" s="50">
        <v>0.99155082050856136</v>
      </c>
      <c r="Z113" s="50">
        <v>0.84074664455885606</v>
      </c>
    </row>
    <row r="116" spans="19:26" x14ac:dyDescent="0.25">
      <c r="S116" s="50">
        <v>2.2905557589837895</v>
      </c>
      <c r="T116" s="50">
        <v>2.77378755708685</v>
      </c>
      <c r="U116" s="50">
        <v>2.1455283885716856</v>
      </c>
      <c r="V116" s="50">
        <v>2.664898771240622</v>
      </c>
      <c r="W116" s="50">
        <v>0.87139333695885068</v>
      </c>
      <c r="X116" s="50">
        <v>0.94631059569794385</v>
      </c>
      <c r="Y116" s="50">
        <v>0.9916228272992329</v>
      </c>
      <c r="Z116" s="50">
        <v>0.84147690966377509</v>
      </c>
    </row>
    <row r="118" spans="19:26" x14ac:dyDescent="0.25">
      <c r="S118" s="50">
        <v>1.2376606704648379</v>
      </c>
      <c r="T118" s="50">
        <v>1.3238279878626655</v>
      </c>
      <c r="U118" s="50">
        <v>1.2736098983724204</v>
      </c>
      <c r="V118" s="50">
        <v>1.4370750412059357</v>
      </c>
      <c r="W118" s="50">
        <v>0.89800300849299552</v>
      </c>
      <c r="X118" s="50">
        <v>0.94599250535343749</v>
      </c>
      <c r="Y118" s="50">
        <v>0.99381574555235896</v>
      </c>
      <c r="Z118" s="50">
        <v>0.93778838080234594</v>
      </c>
    </row>
    <row r="119" spans="19:26" x14ac:dyDescent="0.25">
      <c r="S119" s="50">
        <v>1.0346039842363024</v>
      </c>
      <c r="T119" s="50">
        <v>1.0486447117675555</v>
      </c>
      <c r="U119" s="50">
        <v>1.0908764553679917</v>
      </c>
      <c r="V119" s="50">
        <v>0.97904568646390588</v>
      </c>
      <c r="W119" s="50">
        <v>0.83910842410492148</v>
      </c>
      <c r="X119" s="50">
        <v>0.88984904294794709</v>
      </c>
      <c r="Y119" s="50">
        <v>0.99818760420590535</v>
      </c>
      <c r="Z119" s="50">
        <v>0.99450029898770131</v>
      </c>
    </row>
    <row r="121" spans="19:26" x14ac:dyDescent="0.25">
      <c r="S121" s="50">
        <v>1.0951776421656714</v>
      </c>
      <c r="T121" s="50">
        <v>1.1313641917052992</v>
      </c>
      <c r="U121" s="50">
        <v>0.99609415764627507</v>
      </c>
      <c r="V121" s="50">
        <v>1.189419397983086</v>
      </c>
      <c r="W121" s="50">
        <v>0.87338894781628962</v>
      </c>
      <c r="X121" s="50">
        <v>0.90385534201811313</v>
      </c>
      <c r="Y121" s="50">
        <v>0.99600025640780077</v>
      </c>
      <c r="Z121" s="50">
        <v>0.96676594048102427</v>
      </c>
    </row>
    <row r="122" spans="19:26" x14ac:dyDescent="0.25">
      <c r="S122" s="50">
        <v>7.8301144176401349</v>
      </c>
      <c r="T122" s="50">
        <v>10.26888485966743</v>
      </c>
      <c r="U122" s="50">
        <v>7.3850526547587565</v>
      </c>
      <c r="V122" s="50">
        <v>9.4559897598438223</v>
      </c>
      <c r="W122" s="50">
        <v>0.9082280222093736</v>
      </c>
      <c r="X122" s="50">
        <v>0.89197829358946756</v>
      </c>
      <c r="Y122" s="50">
        <v>0.99386487741215168</v>
      </c>
      <c r="Z122" s="50">
        <v>0.77002586502706727</v>
      </c>
    </row>
  </sheetData>
  <mergeCells count="64">
    <mergeCell ref="AL2:AP2"/>
    <mergeCell ref="AC1:AJ1"/>
    <mergeCell ref="B12:C12"/>
    <mergeCell ref="K6:P6"/>
    <mergeCell ref="AF6:AH6"/>
    <mergeCell ref="AF2:AH2"/>
    <mergeCell ref="AF3:AH3"/>
    <mergeCell ref="AF4:AH4"/>
    <mergeCell ref="AF5:AH5"/>
    <mergeCell ref="K7:P14"/>
    <mergeCell ref="B6:G6"/>
    <mergeCell ref="S2:AA2"/>
    <mergeCell ref="B47:P47"/>
    <mergeCell ref="B18:B19"/>
    <mergeCell ref="J17:K17"/>
    <mergeCell ref="L17:M17"/>
    <mergeCell ref="J18:J19"/>
    <mergeCell ref="E20:E21"/>
    <mergeCell ref="E18:E19"/>
    <mergeCell ref="H35:J35"/>
    <mergeCell ref="G20:G21"/>
    <mergeCell ref="I29:N29"/>
    <mergeCell ref="P29:P30"/>
    <mergeCell ref="I22:I23"/>
    <mergeCell ref="O17:P17"/>
    <mergeCell ref="P31:P33"/>
    <mergeCell ref="B49:P49"/>
    <mergeCell ref="B22:B23"/>
    <mergeCell ref="O25:P25"/>
    <mergeCell ref="C33:G33"/>
    <mergeCell ref="K31:N31"/>
    <mergeCell ref="L35:O35"/>
    <mergeCell ref="B48:P48"/>
    <mergeCell ref="K33:N33"/>
    <mergeCell ref="J22:J23"/>
    <mergeCell ref="L22:L23"/>
    <mergeCell ref="C22:C23"/>
    <mergeCell ref="E22:E23"/>
    <mergeCell ref="C31:G31"/>
    <mergeCell ref="C30:G30"/>
    <mergeCell ref="J30:N30"/>
    <mergeCell ref="B29:G29"/>
    <mergeCell ref="C16:F16"/>
    <mergeCell ref="E17:F17"/>
    <mergeCell ref="J16:M16"/>
    <mergeCell ref="N20:N21"/>
    <mergeCell ref="I20:I21"/>
    <mergeCell ref="L18:L19"/>
    <mergeCell ref="S18:Z18"/>
    <mergeCell ref="S8:Z8"/>
    <mergeCell ref="K32:N32"/>
    <mergeCell ref="C17:D17"/>
    <mergeCell ref="J20:J21"/>
    <mergeCell ref="I18:I19"/>
    <mergeCell ref="C18:C19"/>
    <mergeCell ref="G18:G19"/>
    <mergeCell ref="N18:N19"/>
    <mergeCell ref="C32:G32"/>
    <mergeCell ref="B13:G13"/>
    <mergeCell ref="B15:G15"/>
    <mergeCell ref="I15:P15"/>
    <mergeCell ref="B20:B21"/>
    <mergeCell ref="L20:L21"/>
    <mergeCell ref="C20:C21"/>
  </mergeCells>
  <phoneticPr fontId="3" type="noConversion"/>
  <conditionalFormatting sqref="C8 E8 G8 I8">
    <cfRule type="cellIs" dxfId="3" priority="59" stopIfTrue="1" operator="lessThan">
      <formula>$V$14</formula>
    </cfRule>
  </conditionalFormatting>
  <conditionalFormatting sqref="C9 E9 G9 I9">
    <cfRule type="cellIs" dxfId="2" priority="63" stopIfTrue="1" operator="lessThan">
      <formula>$V$15</formula>
    </cfRule>
  </conditionalFormatting>
  <conditionalFormatting sqref="C10 E10 G10:G11 I10:I11">
    <cfRule type="cellIs" dxfId="1" priority="64" stopIfTrue="1" operator="lessThan">
      <formula>$Z$14</formula>
    </cfRule>
  </conditionalFormatting>
  <conditionalFormatting sqref="C11 E11">
    <cfRule type="cellIs" dxfId="0" priority="68" stopIfTrue="1" operator="lessThan">
      <formula>$Z$15</formula>
    </cfRule>
  </conditionalFormatting>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6147" r:id="rId3" name="Button 3">
              <controlPr defaultSize="0" print="0" autoFill="0" autoPict="0" macro="[0]!ThisWorkbook.outc_misc">
                <anchor moveWithCells="1" sizeWithCells="1">
                  <from>
                    <xdr:col>11</xdr:col>
                    <xdr:colOff>355600</xdr:colOff>
                    <xdr:row>11</xdr:row>
                    <xdr:rowOff>0</xdr:rowOff>
                  </from>
                  <to>
                    <xdr:col>14</xdr:col>
                    <xdr:colOff>444500</xdr:colOff>
                    <xdr:row>13</xdr:row>
                    <xdr:rowOff>88900</xdr:rowOff>
                  </to>
                </anchor>
              </controlPr>
            </control>
          </mc:Choice>
        </mc:AlternateContent>
        <mc:AlternateContent xmlns:mc="http://schemas.openxmlformats.org/markup-compatibility/2006">
          <mc:Choice Requires="x14">
            <control shapeId="6172" r:id="rId4" name="Drop Down 28">
              <controlPr defaultSize="0" autoLine="0" autoPict="0">
                <anchor moveWithCells="1">
                  <from>
                    <xdr:col>4</xdr:col>
                    <xdr:colOff>0</xdr:colOff>
                    <xdr:row>11</xdr:row>
                    <xdr:rowOff>12700</xdr:rowOff>
                  </from>
                  <to>
                    <xdr:col>5</xdr:col>
                    <xdr:colOff>25400</xdr:colOff>
                    <xdr:row>12</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07639-6AA0-F94D-8F45-819837D25E75}">
  <sheetPr codeName="Sheet4"/>
  <dimension ref="B1:AZ122"/>
  <sheetViews>
    <sheetView tabSelected="1" topLeftCell="A9" zoomScale="80" zoomScaleNormal="80" workbookViewId="0">
      <selection activeCell="L29" sqref="L29"/>
    </sheetView>
  </sheetViews>
  <sheetFormatPr defaultColWidth="11.453125" defaultRowHeight="12.5" x14ac:dyDescent="0.25"/>
  <cols>
    <col min="1" max="1" width="2.81640625" style="131" customWidth="1"/>
    <col min="2" max="2" width="12.6328125" style="131" customWidth="1"/>
    <col min="3" max="3" width="7.453125" style="131" customWidth="1"/>
    <col min="4" max="4" width="3" style="131" customWidth="1"/>
    <col min="5" max="5" width="6.6328125" style="131" customWidth="1"/>
    <col min="6" max="6" width="4.453125" style="131" customWidth="1"/>
    <col min="7" max="7" width="7.1796875" style="131" customWidth="1"/>
    <col min="8" max="8" width="2.36328125" style="131" customWidth="1"/>
    <col min="9" max="9" width="8.453125" style="131" customWidth="1"/>
    <col min="10" max="10" width="7.453125" style="131" customWidth="1"/>
    <col min="11" max="11" width="8.453125" style="131" customWidth="1"/>
    <col min="12" max="12" width="6.36328125" style="131" customWidth="1"/>
    <col min="13" max="13" width="7.6328125" style="131" bestFit="1" customWidth="1"/>
    <col min="14" max="14" width="7.1796875" style="131" customWidth="1"/>
    <col min="15" max="15" width="7" style="131" customWidth="1"/>
    <col min="16" max="16" width="17" style="131" customWidth="1"/>
    <col min="17" max="17" width="2.453125" style="131" customWidth="1"/>
    <col min="18" max="18" width="5.36328125" style="131" customWidth="1"/>
    <col min="19" max="19" width="11.453125" style="50" bestFit="1" customWidth="1"/>
    <col min="20" max="20" width="8.81640625" style="50" customWidth="1"/>
    <col min="21" max="21" width="7.81640625" style="50" customWidth="1"/>
    <col min="22" max="22" width="7.1796875" style="50" customWidth="1"/>
    <col min="23" max="23" width="7.36328125" style="50" customWidth="1"/>
    <col min="24" max="24" width="6.453125" style="50" customWidth="1"/>
    <col min="25" max="25" width="7.6328125" style="50" customWidth="1"/>
    <col min="26" max="26" width="6.36328125" style="50" customWidth="1"/>
    <col min="27" max="29" width="11.453125" style="50" customWidth="1"/>
    <col min="30" max="30" width="1.81640625" style="50" customWidth="1"/>
    <col min="31" max="31" width="6.36328125" style="50" customWidth="1"/>
    <col min="32" max="37" width="11.453125" style="50" customWidth="1"/>
    <col min="38" max="38" width="11.453125" style="131" customWidth="1"/>
    <col min="39" max="45" width="11.453125" style="131"/>
    <col min="46" max="49" width="9.1796875" style="131"/>
    <col min="50" max="50" width="0" style="131" hidden="1" customWidth="1"/>
    <col min="51" max="51" width="12.81640625" style="131" hidden="1" customWidth="1"/>
    <col min="52" max="52" width="14.6328125" style="131" customWidth="1"/>
    <col min="53" max="16384" width="11.453125" style="131"/>
  </cols>
  <sheetData>
    <row r="1" spans="2:52" ht="5.25" customHeight="1" x14ac:dyDescent="0.25">
      <c r="AB1" s="205"/>
      <c r="AC1" s="205"/>
      <c r="AD1" s="205"/>
      <c r="AE1" s="205"/>
      <c r="AF1" s="146"/>
      <c r="AG1" s="146"/>
      <c r="AH1" s="146"/>
      <c r="AI1" s="146"/>
    </row>
    <row r="2" spans="2:52" ht="29.5" thickBot="1" x14ac:dyDescent="0.4">
      <c r="B2" s="75" t="s">
        <v>78</v>
      </c>
      <c r="C2" s="75"/>
      <c r="D2" s="75"/>
      <c r="E2" s="75"/>
      <c r="F2" s="75"/>
      <c r="G2" s="75"/>
      <c r="H2" s="75"/>
      <c r="I2" s="75"/>
      <c r="J2" s="75"/>
      <c r="K2" s="75"/>
      <c r="L2" s="75"/>
      <c r="M2" s="75"/>
      <c r="N2" s="75"/>
      <c r="O2" s="206" t="s">
        <v>79</v>
      </c>
      <c r="P2" s="206"/>
      <c r="Q2" s="206"/>
      <c r="R2" s="1"/>
      <c r="S2" s="207" t="s">
        <v>96</v>
      </c>
      <c r="T2" s="207"/>
      <c r="U2" s="207"/>
      <c r="V2" s="207"/>
      <c r="W2" s="207"/>
      <c r="X2" s="207"/>
      <c r="Y2" s="207"/>
      <c r="AA2" s="66"/>
      <c r="AB2" s="52" t="s">
        <v>41</v>
      </c>
      <c r="AC2" s="52" t="s">
        <v>43</v>
      </c>
      <c r="AD2" s="52"/>
      <c r="AE2" s="58" t="s">
        <v>42</v>
      </c>
      <c r="AG2" s="207" t="s">
        <v>55</v>
      </c>
      <c r="AH2" s="207"/>
      <c r="AI2" s="207"/>
      <c r="AJ2" s="207"/>
      <c r="AK2" s="207"/>
      <c r="AT2" s="202" t="s">
        <v>186</v>
      </c>
      <c r="AU2" s="202" t="s">
        <v>187</v>
      </c>
      <c r="AV2" s="202" t="s">
        <v>188</v>
      </c>
      <c r="AW2" s="202" t="s">
        <v>189</v>
      </c>
      <c r="AX2" s="202" t="s">
        <v>190</v>
      </c>
      <c r="AY2" s="202" t="s">
        <v>191</v>
      </c>
      <c r="AZ2" s="202" t="s">
        <v>192</v>
      </c>
    </row>
    <row r="3" spans="2:52" ht="13.5" thickTop="1" x14ac:dyDescent="0.3">
      <c r="B3" s="19"/>
      <c r="S3" s="50" t="s">
        <v>48</v>
      </c>
      <c r="V3" s="112">
        <f>IFERROR(L28,"")</f>
        <v>0.38830528726476149</v>
      </c>
      <c r="W3" s="50" t="s">
        <v>47</v>
      </c>
      <c r="Y3" s="112">
        <f>IFERROR(L27,"")</f>
        <v>0.54836446844650155</v>
      </c>
      <c r="AA3" s="50" t="str">
        <f>B8</f>
        <v>p1</v>
      </c>
      <c r="AB3" s="53">
        <f ca="1">IF(J9=0,RAND(),V11)</f>
        <v>0.73322719801466496</v>
      </c>
      <c r="AC3" s="54">
        <f ca="1">(AB3*(I8+G8-C8-E8)+(C8+E8))/2</f>
        <v>0.83498407970219968</v>
      </c>
      <c r="AD3" s="54"/>
      <c r="AE3" s="173">
        <f ca="1">IF(AC3&lt;E8,C8+SQRT((E8-C8)*(2*AC3-C8-E8)),IF(AC3&gt;G8,I8-SQRT((I8+G8-2*AC3)*(I8-G8)),AC3))</f>
        <v>0.83498407970219968</v>
      </c>
      <c r="AG3" s="52" t="s">
        <v>54</v>
      </c>
      <c r="AH3" s="52" t="str">
        <f>W21</f>
        <v>p1</v>
      </c>
      <c r="AI3" s="52" t="str">
        <f>X21</f>
        <v>p0</v>
      </c>
      <c r="AJ3" s="52" t="str">
        <f>Y21</f>
        <v>RRDC</v>
      </c>
      <c r="AK3" s="52" t="s">
        <v>54</v>
      </c>
      <c r="AT3" s="203" t="s">
        <v>193</v>
      </c>
      <c r="AU3" s="203">
        <f>IF((C18/C22)/(E18/E22)&gt;0,(C18/C22)/(E18/E22),"")</f>
        <v>0.34791511541325393</v>
      </c>
      <c r="AV3" s="203">
        <f>IF((C18/C22)/(E18/E22)&gt;0,AU3-EXP(LN((C18/C22)/(E18/E22))-1.96*Y4),"")</f>
        <v>7.221373076806531E-2</v>
      </c>
      <c r="AW3" s="203">
        <f>IF((C18/C22)/(E18/E22)&gt;0,EXP(LN((C18/C22)/(E18/E22))+1.96*Y4)-AU3,"")</f>
        <v>9.1128481298439923E-2</v>
      </c>
      <c r="AX3" s="203"/>
      <c r="AY3" s="203"/>
      <c r="AZ3" s="203">
        <v>2.5</v>
      </c>
    </row>
    <row r="4" spans="2:52" x14ac:dyDescent="0.25">
      <c r="S4" s="50" t="s">
        <v>2</v>
      </c>
      <c r="V4" s="50">
        <f>IFERROR(SQRT(1/C18+1/C20+1/E18+1/E20),"")</f>
        <v>0.18422469102983074</v>
      </c>
      <c r="W4" s="50" t="s">
        <v>3</v>
      </c>
      <c r="Y4" s="50">
        <f>IFERROR(SQRT(1/C18-1/C22+1/E18-1/E22),"")</f>
        <v>0.11869397371838183</v>
      </c>
      <c r="AA4" s="50" t="str">
        <f>B9</f>
        <v>p0</v>
      </c>
      <c r="AB4" s="53">
        <f ca="1">IF(J9=0,RAND(),V12)</f>
        <v>0.96051844096956152</v>
      </c>
      <c r="AC4" s="54">
        <f ca="1">(AB4*(I9+G9-C9-E9)+(C9+E9))/2</f>
        <v>8.3025922048478085E-2</v>
      </c>
      <c r="AD4" s="54"/>
      <c r="AE4" s="173">
        <f ca="1">IF(AC4&lt;E9,C9+SQRT((E9-C9)*(2*AC4-C9-E9)),IF(AC4&gt;G9,I9-SQRT((I9+G9-2*AC4)*(I9-G9)),AC4))</f>
        <v>8.9116770833465142E-2</v>
      </c>
      <c r="AG4" s="54">
        <v>0</v>
      </c>
      <c r="AH4" s="50">
        <f t="array" ref="AH4:AH53">FREQUENCY(W23:W10000,AG4:AG53)</f>
        <v>0</v>
      </c>
      <c r="AI4" s="50">
        <f t="array" ref="AI4:AI53">FREQUENCY(X23:X10000,AG4:AG53)</f>
        <v>0</v>
      </c>
      <c r="AJ4" s="50">
        <f t="array" ref="AJ4:AJ104">FREQUENCY(Y23:Y10000,AK4:AK104)</f>
        <v>0</v>
      </c>
      <c r="AK4" s="54">
        <v>0</v>
      </c>
      <c r="AT4" s="203" t="s">
        <v>194</v>
      </c>
      <c r="AU4" s="203">
        <f>IF(S23&lt;&gt;"",PERCENTILE(S23:S50014,0.5),"")</f>
        <v>0.47898156196657327</v>
      </c>
      <c r="AV4" s="203">
        <f>IF(S23&lt;&gt;"",AU4-PERCENTILE(S23:S50014,0.025),"")</f>
        <v>6.1737887901127164E-2</v>
      </c>
      <c r="AW4" s="203">
        <f>IF(S23&lt;&gt;"",PERCENTILE(S23:S50014,0.975)-AU4,"")</f>
        <v>5.8509011984083203E-2</v>
      </c>
      <c r="AX4" s="203"/>
      <c r="AY4" s="203"/>
      <c r="AZ4" s="203">
        <v>1.5</v>
      </c>
    </row>
    <row r="5" spans="2:52" x14ac:dyDescent="0.25">
      <c r="S5" s="50" t="s">
        <v>126</v>
      </c>
      <c r="V5" s="50">
        <f ca="1">IFERROR(SQRT(1/AB11+1/AC11+1/AB12+1/AC12+1/AB15+1/AC15+1/AB16+1/AC16),"")</f>
        <v>0.48537402241632099</v>
      </c>
      <c r="W5" s="50" t="s">
        <v>125</v>
      </c>
      <c r="Y5" s="50">
        <f ca="1">IFERROR(SQRT(1/AB11+1/AC11-1/(AB11+AC11)-1/(AB12+AC12)+1/AB15+1/AC15-1/(AB15+AC15)-1/(AB16+AC16)),"")</f>
        <v>0.35511060197447614</v>
      </c>
      <c r="AA5" s="66" t="str">
        <f>B10</f>
        <v>RRDC</v>
      </c>
      <c r="AB5" s="69">
        <f ca="1">RAND()</f>
        <v>0.38708756936531608</v>
      </c>
      <c r="AC5" s="141">
        <f ca="1">(AB5*(I10+G10-C10-E10)+(C10+E10))/2</f>
        <v>0.62741751387306333</v>
      </c>
      <c r="AD5" s="141"/>
      <c r="AE5" s="137">
        <f ca="1">IF(AC5&lt;E10,C10+SQRT((E10-C10)*(2*AC5-C10-E10)),IF(AC5&gt;G10,I10-SQRT((I10+G10-2*AC5)*(I10-G10)),AC5))</f>
        <v>0.62741751387306333</v>
      </c>
      <c r="AG5" s="54">
        <f>AG4+0.02</f>
        <v>0.02</v>
      </c>
      <c r="AH5" s="50">
        <v>0</v>
      </c>
      <c r="AI5" s="50">
        <v>0</v>
      </c>
      <c r="AJ5" s="50">
        <v>0</v>
      </c>
      <c r="AK5" s="54">
        <f>AK4+0.1</f>
        <v>0.1</v>
      </c>
      <c r="AT5" s="203" t="s">
        <v>67</v>
      </c>
      <c r="AU5" s="203">
        <f>IF(U23&lt;&gt;"",PERCENTILE(U23:U50014,0.5),"")</f>
        <v>0.47819365642824141</v>
      </c>
      <c r="AV5" s="204">
        <f>IF(U23&lt;&gt;"",AU5-PERCENTILE(U23:U50014,0.025),"")</f>
        <v>0.15408803064189824</v>
      </c>
      <c r="AW5" s="204">
        <f>IF(U23&lt;&gt;"",PERCENTILE(U23:U50014,0.975)-AU5,"")</f>
        <v>0.18825206160502828</v>
      </c>
      <c r="AX5" s="203"/>
      <c r="AY5" s="203"/>
      <c r="AZ5" s="203">
        <v>0.5</v>
      </c>
    </row>
    <row r="6" spans="2:52" ht="12.75" customHeight="1" x14ac:dyDescent="0.3">
      <c r="B6" s="208" t="s">
        <v>7</v>
      </c>
      <c r="C6" s="208"/>
      <c r="D6" s="208"/>
      <c r="E6" s="208"/>
      <c r="F6" s="208"/>
      <c r="G6" s="208"/>
      <c r="H6" s="208"/>
      <c r="I6" s="208"/>
      <c r="J6" s="116" t="s">
        <v>83</v>
      </c>
      <c r="K6" s="209" t="s">
        <v>5</v>
      </c>
      <c r="L6" s="209"/>
      <c r="M6" s="209"/>
      <c r="N6" s="209"/>
      <c r="O6" s="209"/>
      <c r="P6" s="209"/>
      <c r="Q6" s="209"/>
      <c r="R6" s="31"/>
      <c r="S6" s="192" t="s">
        <v>153</v>
      </c>
      <c r="T6" s="192"/>
      <c r="U6" s="192"/>
      <c r="V6" s="192">
        <f>IFERROR(SQRT(((X9*X11+Y9*Y11)/(2*(X9+Y9)^2))+(((X9*X12+X10*X11)+(Y9*Y12+Y10*Y11))/(2*(X9+Y9)*(X10+Y10)))+((X10*X12+Y10*Y12)/(2*(X10+Y10)^2))),"")</f>
        <v>0.2271374882332618</v>
      </c>
      <c r="W6" s="192" t="s">
        <v>154</v>
      </c>
      <c r="X6" s="193"/>
      <c r="Y6" s="192">
        <f>IFERROR(SQRT(((((N18+P18)*N22*P22/(N22+P22)^2-N18*P18/(N22+P22))) + (((I18+K18)*I22*K22/(I22+K22)^2-I18*K18/(I22+K22))))/ (((N18*P22/(N22+P22)+I18*K22/(I22+K22)))*(P18*N22/(N22+P22)+K18*I22/(I22+K22)))),"")</f>
        <v>0.15035331410428765</v>
      </c>
      <c r="AB6" s="53"/>
      <c r="AC6" s="54"/>
      <c r="AD6" s="54"/>
      <c r="AE6" s="174"/>
      <c r="AG6" s="54">
        <f t="shared" ref="AG6:AG54" si="0">AG5+0.02</f>
        <v>0.04</v>
      </c>
      <c r="AH6" s="50">
        <v>0</v>
      </c>
      <c r="AI6" s="50">
        <v>7</v>
      </c>
      <c r="AJ6" s="50">
        <v>0</v>
      </c>
      <c r="AK6" s="54">
        <f t="shared" ref="AK6:AK69" si="1">AK5+0.1</f>
        <v>0.2</v>
      </c>
    </row>
    <row r="7" spans="2:52" ht="15.75" customHeight="1" x14ac:dyDescent="0.35">
      <c r="C7" s="9" t="s">
        <v>37</v>
      </c>
      <c r="D7" s="61"/>
      <c r="E7" s="9" t="s">
        <v>38</v>
      </c>
      <c r="F7" s="1"/>
      <c r="G7" s="9" t="s">
        <v>40</v>
      </c>
      <c r="H7" s="160"/>
      <c r="I7" s="46" t="s">
        <v>39</v>
      </c>
      <c r="J7" s="175" t="str">
        <f>IF(C8&lt;=E8,IF(E8&lt;=G8,IF(G8&lt;=I8,"No error","Error"),"Error"),"Error")</f>
        <v>No error</v>
      </c>
      <c r="K7" s="210"/>
      <c r="L7" s="210"/>
      <c r="M7" s="210"/>
      <c r="N7" s="210"/>
      <c r="O7" s="210"/>
      <c r="P7" s="210"/>
      <c r="Q7" s="210"/>
      <c r="R7" s="176"/>
      <c r="S7" s="50" t="s">
        <v>136</v>
      </c>
      <c r="V7" s="50" t="b">
        <f ca="1">IF(OR(AB10="",AC10="",AB11="",AC11="",AB15="",AC15="",AB16="",AC16=""),TRUE)</f>
        <v>0</v>
      </c>
      <c r="AA7" s="50" t="s">
        <v>164</v>
      </c>
      <c r="AG7" s="54">
        <f t="shared" si="0"/>
        <v>0.06</v>
      </c>
      <c r="AH7" s="50">
        <v>0</v>
      </c>
      <c r="AI7" s="50">
        <v>48</v>
      </c>
      <c r="AJ7" s="50">
        <v>0</v>
      </c>
      <c r="AK7" s="54">
        <f t="shared" si="1"/>
        <v>0.30000000000000004</v>
      </c>
      <c r="AT7" s="202" t="s">
        <v>186</v>
      </c>
      <c r="AU7" s="202" t="s">
        <v>187</v>
      </c>
      <c r="AV7" s="202" t="s">
        <v>188</v>
      </c>
      <c r="AW7" s="202" t="s">
        <v>189</v>
      </c>
      <c r="AX7" s="202" t="s">
        <v>190</v>
      </c>
      <c r="AY7" s="202" t="s">
        <v>191</v>
      </c>
      <c r="AZ7" s="202" t="s">
        <v>192</v>
      </c>
    </row>
    <row r="8" spans="2:52" ht="15" customHeight="1" x14ac:dyDescent="0.4">
      <c r="B8" s="24" t="s">
        <v>60</v>
      </c>
      <c r="C8" s="171">
        <v>0.7</v>
      </c>
      <c r="E8" s="171">
        <v>0.75</v>
      </c>
      <c r="G8" s="171">
        <v>0.85</v>
      </c>
      <c r="I8" s="171">
        <v>0.9</v>
      </c>
      <c r="J8" s="1" t="s">
        <v>102</v>
      </c>
      <c r="K8" s="211"/>
      <c r="L8" s="211"/>
      <c r="M8" s="211"/>
      <c r="N8" s="211"/>
      <c r="O8" s="211"/>
      <c r="P8" s="211"/>
      <c r="Q8" s="211"/>
      <c r="R8" s="176"/>
      <c r="S8" s="66" t="s">
        <v>100</v>
      </c>
      <c r="T8" s="66"/>
      <c r="U8" s="66"/>
      <c r="V8" s="66"/>
      <c r="W8" s="194" t="s">
        <v>155</v>
      </c>
      <c r="X8" s="194"/>
      <c r="Y8" s="194"/>
      <c r="AB8" s="50" t="str">
        <f>I16</f>
        <v>Muslim +</v>
      </c>
      <c r="AG8" s="54">
        <f t="shared" si="0"/>
        <v>0.08</v>
      </c>
      <c r="AH8" s="50">
        <v>0</v>
      </c>
      <c r="AI8" s="50">
        <v>31</v>
      </c>
      <c r="AJ8" s="50">
        <v>0</v>
      </c>
      <c r="AK8" s="54">
        <f t="shared" si="1"/>
        <v>0.4</v>
      </c>
      <c r="AT8" s="203" t="s">
        <v>193</v>
      </c>
      <c r="AU8" s="203">
        <f>IF((C18/C20)/(E18/E20)&gt;0,(C18/C20)/(E18/E20),"")</f>
        <v>0.2179930795847751</v>
      </c>
      <c r="AV8" s="203">
        <f>IF((C18/C20)/(E18/E20)&gt;0,AU8-EXP(LN((C18/C20)/(E18/E20))-1.96*V4),"")</f>
        <v>6.6068695666542276E-2</v>
      </c>
      <c r="AW8" s="203">
        <f>IF((C18/C20)/(E18/E20)&gt;0,EXP(LN((C18/C20)/(E18/E20))+1.96*V4)-AU8,"")</f>
        <v>9.4800571580730575E-2</v>
      </c>
      <c r="AX8" s="203"/>
      <c r="AY8" s="203"/>
      <c r="AZ8" s="203">
        <v>2.5</v>
      </c>
    </row>
    <row r="9" spans="2:52" ht="15" x14ac:dyDescent="0.4">
      <c r="B9" s="24" t="s">
        <v>61</v>
      </c>
      <c r="C9" s="171">
        <v>0.03</v>
      </c>
      <c r="E9" s="171">
        <v>0.04</v>
      </c>
      <c r="G9" s="171">
        <v>7.0000000000000007E-2</v>
      </c>
      <c r="I9" s="171">
        <v>0.1</v>
      </c>
      <c r="J9" s="171">
        <v>0</v>
      </c>
      <c r="K9" s="211"/>
      <c r="L9" s="211"/>
      <c r="M9" s="211"/>
      <c r="N9" s="211"/>
      <c r="O9" s="211"/>
      <c r="P9" s="211"/>
      <c r="Q9" s="211"/>
      <c r="R9" s="176"/>
      <c r="S9" s="50" t="s">
        <v>127</v>
      </c>
      <c r="V9" s="50">
        <f ca="1">NORMINV(RAND(),0,1)</f>
        <v>0.2720262428741041</v>
      </c>
      <c r="W9" s="192" t="s">
        <v>156</v>
      </c>
      <c r="X9" s="192">
        <f>IFERROR(I18*K20/(I22+K22),"")</f>
        <v>1.1755102040816328</v>
      </c>
      <c r="Y9" s="192">
        <f>IFERROR(N18*P20/(N22+P22),"")</f>
        <v>10.762499999999999</v>
      </c>
      <c r="AB9" s="50" t="str">
        <f>I17</f>
        <v>Circ +</v>
      </c>
      <c r="AC9" s="50" t="str">
        <f>K17</f>
        <v>Circ -</v>
      </c>
      <c r="AG9" s="54">
        <f t="shared" si="0"/>
        <v>0.1</v>
      </c>
      <c r="AH9" s="50">
        <v>0</v>
      </c>
      <c r="AI9" s="50">
        <v>14</v>
      </c>
      <c r="AJ9" s="50">
        <v>0</v>
      </c>
      <c r="AK9" s="54">
        <f t="shared" si="1"/>
        <v>0.5</v>
      </c>
      <c r="AT9" s="203" t="s">
        <v>194</v>
      </c>
      <c r="AU9" s="203">
        <f>IF(T23&lt;&gt;"",PERCENTILE(T23:T50014,0.5),"")</f>
        <v>0.32468816580618398</v>
      </c>
      <c r="AV9" s="203">
        <f>IF(T23&lt;&gt;"",AU9-PERCENTILE(T23:T50014,0.025),"")</f>
        <v>5.1605436519670533E-2</v>
      </c>
      <c r="AW9" s="203">
        <f>IF(T23&lt;&gt;"",PERCENTILE(T23:T50014,0.975)-AU9,"")</f>
        <v>5.3161788545039668E-2</v>
      </c>
      <c r="AX9" s="203"/>
      <c r="AY9" s="203"/>
      <c r="AZ9" s="203">
        <v>1.5</v>
      </c>
    </row>
    <row r="10" spans="2:52" ht="15.75" customHeight="1" x14ac:dyDescent="0.4">
      <c r="B10" s="24" t="s">
        <v>62</v>
      </c>
      <c r="C10" s="171">
        <v>0.5</v>
      </c>
      <c r="D10" s="149"/>
      <c r="E10" s="171">
        <v>0.6</v>
      </c>
      <c r="F10" s="149"/>
      <c r="G10" s="171">
        <v>0.7</v>
      </c>
      <c r="H10" s="149"/>
      <c r="I10" s="171">
        <v>0.8</v>
      </c>
      <c r="J10" s="131" t="str">
        <f>IF(C10&lt;=E10,IF(E10&lt;=G10,IF(G10&lt;=I10,"","Error"),"Error"),"Error")</f>
        <v/>
      </c>
      <c r="K10" s="211"/>
      <c r="L10" s="211"/>
      <c r="M10" s="211"/>
      <c r="N10" s="211"/>
      <c r="O10" s="211"/>
      <c r="P10" s="211"/>
      <c r="Q10" s="211"/>
      <c r="R10" s="176"/>
      <c r="S10" s="50" t="s">
        <v>128</v>
      </c>
      <c r="T10" s="131"/>
      <c r="V10" s="50">
        <f ca="1">IF(J9&lt;1,NORMINV(RAND(),$J$9*V9,SQRT(1-J9^2)),V9)</f>
        <v>-5.0330894207343449E-2</v>
      </c>
      <c r="W10" s="192" t="s">
        <v>157</v>
      </c>
      <c r="X10" s="192">
        <f>IFERROR(K18*I20/(I22+K22),"")</f>
        <v>1.6938775510204083</v>
      </c>
      <c r="Y10" s="192">
        <f>IFERROR(P18*N20/(N22+P22),"")</f>
        <v>29.05</v>
      </c>
      <c r="AA10" s="50" t="str">
        <f>B18</f>
        <v>HIV +</v>
      </c>
      <c r="AB10" s="112">
        <f ca="1">IFERROR((O29*AB12*C18) / (O29*AB12+C22-AB12),"")</f>
        <v>79.848769334074575</v>
      </c>
      <c r="AC10" s="112">
        <f ca="1">IFERROR((O29*AC12*E18)/(O29*AC12+E22- AC12),"")</f>
        <v>4.9158640841288612</v>
      </c>
      <c r="AG10" s="54">
        <f t="shared" si="0"/>
        <v>0.12000000000000001</v>
      </c>
      <c r="AH10" s="50">
        <v>0</v>
      </c>
      <c r="AI10" s="50">
        <v>0</v>
      </c>
      <c r="AJ10" s="50">
        <v>24</v>
      </c>
      <c r="AK10" s="54">
        <f t="shared" si="1"/>
        <v>0.6</v>
      </c>
      <c r="AT10" s="203" t="s">
        <v>67</v>
      </c>
      <c r="AU10" s="203">
        <f>IF(V23&lt;&gt;"",PERCENTILE(V23:V50014,0.5),"")</f>
        <v>0.31678221367236559</v>
      </c>
      <c r="AV10" s="204">
        <f>IF(V23&lt;&gt;"",AU10-PERCENTILE(V23:V50014,0.025),"")</f>
        <v>0.11462814913290448</v>
      </c>
      <c r="AW10" s="204">
        <f>IF(U23&lt;&gt;"",PERCENTILE(U23:U50014,0.975)-AU10,"")</f>
        <v>0.3496635043609041</v>
      </c>
      <c r="AX10" s="203"/>
      <c r="AY10" s="203"/>
      <c r="AZ10" s="203">
        <v>0.5</v>
      </c>
    </row>
    <row r="11" spans="2:52" ht="14.25" customHeight="1" x14ac:dyDescent="0.3">
      <c r="B11" s="1" t="s">
        <v>46</v>
      </c>
      <c r="C11" s="212">
        <v>100</v>
      </c>
      <c r="D11" s="212"/>
      <c r="E11" s="212"/>
      <c r="K11" s="211"/>
      <c r="L11" s="211"/>
      <c r="M11" s="211"/>
      <c r="N11" s="211"/>
      <c r="O11" s="211"/>
      <c r="P11" s="211"/>
      <c r="Q11" s="211"/>
      <c r="R11" s="176"/>
      <c r="S11" s="50" t="s">
        <v>129</v>
      </c>
      <c r="T11" s="131"/>
      <c r="V11" s="50">
        <f ca="1">_xlfn.NORM.DIST(V9,0,1,TRUE)</f>
        <v>0.60719907947547191</v>
      </c>
      <c r="W11" s="192" t="s">
        <v>158</v>
      </c>
      <c r="X11" s="192">
        <f>IFERROR((K20+I18)/(I22+K22),"")</f>
        <v>0.1489795918367347</v>
      </c>
      <c r="Y11" s="192">
        <f>IFERROR((P20+N18)/(N22+P22),"")</f>
        <v>0.390625</v>
      </c>
      <c r="AA11" s="50" t="str">
        <f>B20</f>
        <v>HIV -</v>
      </c>
      <c r="AB11" s="112">
        <f ca="1">IFERROR(AB12-AB10,"")</f>
        <v>447.86116903771557</v>
      </c>
      <c r="AC11" s="112">
        <f ca="1">IFERROR(AC12-AC10,"")</f>
        <v>10.946921124227934</v>
      </c>
      <c r="AG11" s="54">
        <f t="shared" si="0"/>
        <v>0.14000000000000001</v>
      </c>
      <c r="AH11" s="50">
        <v>0</v>
      </c>
      <c r="AI11" s="50">
        <v>0</v>
      </c>
      <c r="AJ11" s="50">
        <v>56</v>
      </c>
      <c r="AK11" s="54">
        <f t="shared" si="1"/>
        <v>0.7</v>
      </c>
    </row>
    <row r="12" spans="2:52" ht="13" x14ac:dyDescent="0.3">
      <c r="B12" s="9"/>
      <c r="C12" s="172"/>
      <c r="D12" s="172"/>
      <c r="E12" s="172"/>
      <c r="F12" s="146"/>
      <c r="G12" s="146"/>
      <c r="H12" s="146"/>
      <c r="I12" s="146"/>
      <c r="K12" s="211"/>
      <c r="L12" s="211"/>
      <c r="M12" s="211"/>
      <c r="N12" s="211"/>
      <c r="O12" s="211"/>
      <c r="P12" s="211"/>
      <c r="Q12" s="211"/>
      <c r="R12" s="176"/>
      <c r="S12" s="50" t="s">
        <v>130</v>
      </c>
      <c r="T12" s="131"/>
      <c r="V12" s="50">
        <f ca="1">_xlfn.NORM.DIST(V10,0,1,TRUE)</f>
        <v>0.47992935247155255</v>
      </c>
      <c r="W12" s="192" t="s">
        <v>159</v>
      </c>
      <c r="X12" s="192">
        <f>IFERROR((K18+I20)/(I22+K22),"")</f>
        <v>0.8510204081632653</v>
      </c>
      <c r="Y12" s="192">
        <f>IFERROR((P18+N20)/(N22+P22),"")</f>
        <v>0.609375</v>
      </c>
      <c r="AA12" s="50" t="str">
        <f>B22</f>
        <v>Total</v>
      </c>
      <c r="AB12" s="112">
        <f ca="1">IFERROR(C22*O27,"")</f>
        <v>527.70993837179014</v>
      </c>
      <c r="AC12" s="112">
        <f ca="1">IFERROR(E22*O28,"")</f>
        <v>15.862785208356796</v>
      </c>
      <c r="AG12" s="54">
        <f t="shared" si="0"/>
        <v>0.16</v>
      </c>
      <c r="AH12" s="50">
        <v>0</v>
      </c>
      <c r="AI12" s="50">
        <v>0</v>
      </c>
      <c r="AJ12" s="50">
        <v>20</v>
      </c>
      <c r="AK12" s="54">
        <f t="shared" si="1"/>
        <v>0.79999999999999993</v>
      </c>
    </row>
    <row r="13" spans="2:52" ht="13" x14ac:dyDescent="0.3">
      <c r="B13" s="213" t="s">
        <v>33</v>
      </c>
      <c r="C13" s="213"/>
      <c r="D13" s="213"/>
      <c r="E13" s="145"/>
      <c r="F13" s="214" t="s">
        <v>10</v>
      </c>
      <c r="G13" s="214"/>
      <c r="H13" s="215"/>
      <c r="I13" s="177" t="s">
        <v>14</v>
      </c>
      <c r="K13" s="211"/>
      <c r="L13" s="211"/>
      <c r="M13" s="211"/>
      <c r="N13" s="211"/>
      <c r="O13" s="211"/>
      <c r="P13" s="211"/>
      <c r="Q13" s="211"/>
      <c r="R13" s="176"/>
      <c r="X13" s="131"/>
      <c r="AB13" s="50" t="str">
        <f>N16</f>
        <v>Muslim -</v>
      </c>
      <c r="AG13" s="54">
        <f t="shared" si="0"/>
        <v>0.18</v>
      </c>
      <c r="AH13" s="50">
        <v>0</v>
      </c>
      <c r="AI13" s="50">
        <v>0</v>
      </c>
      <c r="AJ13" s="50">
        <v>0</v>
      </c>
      <c r="AK13" s="54">
        <f t="shared" si="1"/>
        <v>0.89999999999999991</v>
      </c>
    </row>
    <row r="14" spans="2:52" ht="13" x14ac:dyDescent="0.3">
      <c r="B14" s="1" t="s">
        <v>12</v>
      </c>
      <c r="C14" s="216" t="s">
        <v>71</v>
      </c>
      <c r="D14" s="216"/>
      <c r="F14" s="213" t="s">
        <v>11</v>
      </c>
      <c r="G14" s="213"/>
      <c r="H14" s="217"/>
      <c r="I14" s="178" t="s">
        <v>13</v>
      </c>
      <c r="J14" s="176"/>
      <c r="K14" s="176"/>
      <c r="L14" s="176"/>
      <c r="S14" s="1" t="s">
        <v>133</v>
      </c>
      <c r="T14" s="131"/>
      <c r="V14" s="121">
        <f ca="1">IF(ISBLANK(W23)=TRUE,"",CORREL(W22:W999999,X22:X999999))</f>
        <v>-4.0692808008610483E-3</v>
      </c>
      <c r="X14" s="131"/>
      <c r="AB14" s="50" t="str">
        <f>AB9</f>
        <v>Circ +</v>
      </c>
      <c r="AC14" s="50" t="str">
        <f>AC9</f>
        <v>Circ -</v>
      </c>
      <c r="AG14" s="54">
        <f t="shared" si="0"/>
        <v>0.19999999999999998</v>
      </c>
      <c r="AH14" s="50">
        <v>0</v>
      </c>
      <c r="AI14" s="50">
        <v>0</v>
      </c>
      <c r="AJ14" s="50">
        <v>0</v>
      </c>
      <c r="AK14" s="54">
        <f t="shared" si="1"/>
        <v>0.99999999999999989</v>
      </c>
    </row>
    <row r="15" spans="2:52" ht="13" x14ac:dyDescent="0.3">
      <c r="B15" s="218" t="str">
        <f>IF(I13&lt;&gt;"",IF(I14&lt;&gt;"",CONCATENATE("Data (Enter Crude ",I13,"-",I14," Data in Blue Cells)"),"Data (Enter Crude Data in Blue Cells)"),"Data (Enter Crude Data in Blue Cells)")</f>
        <v>Data (Enter Crude Circ-HIV Data in Blue Cells)</v>
      </c>
      <c r="C15" s="218"/>
      <c r="D15" s="218"/>
      <c r="E15" s="218"/>
      <c r="F15" s="218"/>
      <c r="G15" s="218"/>
      <c r="H15" s="218"/>
      <c r="I15" s="218"/>
      <c r="J15" s="218"/>
      <c r="K15" s="218"/>
      <c r="L15" s="218"/>
      <c r="M15" s="218"/>
      <c r="N15" s="218"/>
      <c r="O15" s="218"/>
      <c r="P15" s="218"/>
      <c r="Q15" s="218"/>
      <c r="R15" s="159"/>
      <c r="T15" s="131"/>
      <c r="X15" s="131"/>
      <c r="AA15" s="50" t="str">
        <f>AA10</f>
        <v>HIV +</v>
      </c>
      <c r="AB15" s="112">
        <f ca="1">IFERROR(C18-AB10,"")</f>
        <v>25.151230665925425</v>
      </c>
      <c r="AC15" s="112">
        <f ca="1">IFERROR(E18-AC10,"")</f>
        <v>80.084135915871144</v>
      </c>
      <c r="AG15" s="54">
        <f t="shared" si="0"/>
        <v>0.21999999999999997</v>
      </c>
      <c r="AH15" s="50">
        <v>0</v>
      </c>
      <c r="AI15" s="50">
        <v>0</v>
      </c>
      <c r="AJ15" s="50">
        <v>0</v>
      </c>
      <c r="AK15" s="54">
        <f t="shared" si="1"/>
        <v>1.0999999999999999</v>
      </c>
    </row>
    <row r="16" spans="2:52" ht="14.25" customHeight="1" thickBot="1" x14ac:dyDescent="0.35">
      <c r="B16" s="145"/>
      <c r="C16" s="219" t="s">
        <v>1</v>
      </c>
      <c r="D16" s="219" t="s">
        <v>1</v>
      </c>
      <c r="E16" s="219"/>
      <c r="F16" s="219"/>
      <c r="G16" s="5"/>
      <c r="H16" s="5"/>
      <c r="I16" s="219" t="str">
        <f>IF(C14&lt;&gt;"",CONCATENATE(C14," +"),"C+")</f>
        <v>Muslim +</v>
      </c>
      <c r="J16" s="219"/>
      <c r="K16" s="219"/>
      <c r="L16" s="219"/>
      <c r="M16" s="5"/>
      <c r="N16" s="219" t="str">
        <f>IF(C14&lt;&gt;"",CONCATENATE(C14," -"),"C-")</f>
        <v>Muslim -</v>
      </c>
      <c r="O16" s="219"/>
      <c r="P16" s="219"/>
      <c r="Q16" s="219"/>
      <c r="T16" s="131"/>
      <c r="X16" s="131"/>
      <c r="AA16" s="50" t="str">
        <f>AA11</f>
        <v>HIV -</v>
      </c>
      <c r="AB16" s="112">
        <f ca="1">IFERROR(C20-AB11,"")</f>
        <v>79.13883096228443</v>
      </c>
      <c r="AC16" s="112">
        <f ca="1">IFERROR(E20-AC11,"")</f>
        <v>82.053078875772059</v>
      </c>
      <c r="AG16" s="54">
        <f t="shared" si="0"/>
        <v>0.23999999999999996</v>
      </c>
      <c r="AH16" s="50">
        <v>0</v>
      </c>
      <c r="AI16" s="50">
        <v>0</v>
      </c>
      <c r="AJ16" s="50">
        <v>0</v>
      </c>
      <c r="AK16" s="54">
        <f t="shared" si="1"/>
        <v>1.2</v>
      </c>
    </row>
    <row r="17" spans="2:37" ht="13.5" thickBot="1" x14ac:dyDescent="0.35">
      <c r="B17" s="161"/>
      <c r="C17" s="220" t="str">
        <f>IF(I13&lt;&gt;"",CONCATENATE(I13," +"),"E+")</f>
        <v>Circ +</v>
      </c>
      <c r="D17" s="220" t="s">
        <v>0</v>
      </c>
      <c r="E17" s="220" t="str">
        <f>IF(I13&lt;&gt;"",CONCATENATE(I13," -"),"E-")</f>
        <v>Circ -</v>
      </c>
      <c r="F17" s="220" t="s">
        <v>0</v>
      </c>
      <c r="G17" s="5"/>
      <c r="H17" s="5"/>
      <c r="I17" s="220" t="str">
        <f>C17</f>
        <v>Circ +</v>
      </c>
      <c r="J17" s="220" t="s">
        <v>0</v>
      </c>
      <c r="K17" s="220" t="str">
        <f>E17</f>
        <v>Circ -</v>
      </c>
      <c r="L17" s="220" t="s">
        <v>0</v>
      </c>
      <c r="M17" s="5"/>
      <c r="N17" s="220" t="str">
        <f>C17</f>
        <v>Circ +</v>
      </c>
      <c r="O17" s="220" t="s">
        <v>0</v>
      </c>
      <c r="P17" s="220" t="str">
        <f>E17</f>
        <v>Circ -</v>
      </c>
      <c r="Q17" s="220" t="s">
        <v>0</v>
      </c>
      <c r="AA17" s="50" t="str">
        <f>AA12</f>
        <v>Total</v>
      </c>
      <c r="AB17" s="112">
        <f ca="1">IFERROR(C22-AB12,"")</f>
        <v>104.29006162820986</v>
      </c>
      <c r="AC17" s="112">
        <f ca="1">IFERROR(E22-AC12,"")</f>
        <v>162.1372147916432</v>
      </c>
      <c r="AG17" s="54">
        <f t="shared" si="0"/>
        <v>0.25999999999999995</v>
      </c>
      <c r="AH17" s="50">
        <v>0</v>
      </c>
      <c r="AI17" s="50">
        <v>0</v>
      </c>
      <c r="AJ17" s="50">
        <v>0</v>
      </c>
      <c r="AK17" s="54">
        <f t="shared" si="1"/>
        <v>1.3</v>
      </c>
    </row>
    <row r="18" spans="2:37" ht="12.75" customHeight="1" x14ac:dyDescent="0.35">
      <c r="B18" s="224" t="str">
        <f>IF(I14&lt;&gt;"",CONCATENATE(I14," +"),"D+")</f>
        <v>HIV +</v>
      </c>
      <c r="C18" s="230">
        <v>105</v>
      </c>
      <c r="D18" s="12" t="s">
        <v>15</v>
      </c>
      <c r="E18" s="232">
        <v>85</v>
      </c>
      <c r="F18" s="12" t="s">
        <v>17</v>
      </c>
      <c r="G18" s="179"/>
      <c r="H18" s="143"/>
      <c r="I18" s="221">
        <v>64</v>
      </c>
      <c r="J18" s="16" t="s">
        <v>21</v>
      </c>
      <c r="K18" s="221">
        <v>2</v>
      </c>
      <c r="L18" s="16" t="s">
        <v>24</v>
      </c>
      <c r="M18" s="143"/>
      <c r="N18" s="221">
        <f>IFERROR(C18-I18,"")</f>
        <v>41</v>
      </c>
      <c r="O18" s="16" t="s">
        <v>27</v>
      </c>
      <c r="P18" s="221">
        <f>IFERROR(E18-K18,"")</f>
        <v>83</v>
      </c>
      <c r="Q18" s="16" t="s">
        <v>30</v>
      </c>
      <c r="R18" s="156"/>
      <c r="S18" s="223" t="s">
        <v>97</v>
      </c>
      <c r="T18" s="223"/>
      <c r="U18" s="223"/>
      <c r="V18" s="223"/>
      <c r="W18" s="223"/>
      <c r="X18" s="223"/>
      <c r="Y18" s="223"/>
      <c r="AG18" s="54">
        <f t="shared" si="0"/>
        <v>0.27999999999999997</v>
      </c>
      <c r="AH18" s="50">
        <v>0</v>
      </c>
      <c r="AI18" s="50">
        <v>0</v>
      </c>
      <c r="AJ18" s="50">
        <v>0</v>
      </c>
      <c r="AK18" s="54">
        <f t="shared" si="1"/>
        <v>1.4000000000000001</v>
      </c>
    </row>
    <row r="19" spans="2:37" ht="5.25" customHeight="1" x14ac:dyDescent="0.25">
      <c r="B19" s="224"/>
      <c r="C19" s="231"/>
      <c r="D19" s="13"/>
      <c r="E19" s="231"/>
      <c r="F19" s="12"/>
      <c r="G19" s="179"/>
      <c r="H19" s="143"/>
      <c r="I19" s="222"/>
      <c r="J19" s="16"/>
      <c r="K19" s="222"/>
      <c r="L19" s="16"/>
      <c r="M19" s="143"/>
      <c r="N19" s="222"/>
      <c r="O19" s="16"/>
      <c r="P19" s="222"/>
      <c r="Q19" s="16"/>
      <c r="R19" s="156"/>
      <c r="AG19" s="54">
        <f t="shared" si="0"/>
        <v>0.3</v>
      </c>
      <c r="AH19" s="50">
        <v>0</v>
      </c>
      <c r="AI19" s="50">
        <v>0</v>
      </c>
      <c r="AJ19" s="50">
        <v>0</v>
      </c>
      <c r="AK19" s="54">
        <f t="shared" si="1"/>
        <v>1.5000000000000002</v>
      </c>
    </row>
    <row r="20" spans="2:37" ht="12.75" customHeight="1" x14ac:dyDescent="0.35">
      <c r="B20" s="224" t="str">
        <f>IF(I14&lt;&gt;"",CONCATENATE(I14," -"),"D-")</f>
        <v>HIV -</v>
      </c>
      <c r="C20" s="225">
        <v>527</v>
      </c>
      <c r="D20" s="14" t="s">
        <v>16</v>
      </c>
      <c r="E20" s="225">
        <v>93</v>
      </c>
      <c r="F20" s="14" t="s">
        <v>18</v>
      </c>
      <c r="G20" s="179"/>
      <c r="H20" s="143"/>
      <c r="I20" s="227">
        <v>415</v>
      </c>
      <c r="J20" s="17" t="s">
        <v>22</v>
      </c>
      <c r="K20" s="227">
        <v>9</v>
      </c>
      <c r="L20" s="17" t="s">
        <v>25</v>
      </c>
      <c r="M20" s="143"/>
      <c r="N20" s="227">
        <f>IFERROR(C20-I20,"")</f>
        <v>112</v>
      </c>
      <c r="O20" s="17" t="s">
        <v>28</v>
      </c>
      <c r="P20" s="227">
        <f>IFERROR(E20-K20,"")</f>
        <v>84</v>
      </c>
      <c r="Q20" s="17" t="s">
        <v>31</v>
      </c>
      <c r="R20" s="180"/>
      <c r="S20" s="229" t="s">
        <v>70</v>
      </c>
      <c r="T20" s="229"/>
      <c r="U20" s="229" t="s">
        <v>67</v>
      </c>
      <c r="V20" s="229"/>
      <c r="W20" s="229" t="s">
        <v>53</v>
      </c>
      <c r="X20" s="229"/>
      <c r="Y20" s="229"/>
      <c r="AA20" s="50" t="s">
        <v>152</v>
      </c>
      <c r="AB20" s="195">
        <f ca="1">IFERROR((AB10+AB15)/((AB12*AC10/AC12)+(AB17*AC15/AC17)),"")</f>
        <v>0.48826155564083523</v>
      </c>
      <c r="AE20" s="20"/>
      <c r="AF20" s="20"/>
      <c r="AG20" s="54">
        <f t="shared" si="0"/>
        <v>0.32</v>
      </c>
      <c r="AH20" s="50">
        <v>0</v>
      </c>
      <c r="AI20" s="50">
        <v>0</v>
      </c>
      <c r="AJ20" s="50">
        <v>0</v>
      </c>
      <c r="AK20" s="54">
        <f t="shared" si="1"/>
        <v>1.6000000000000003</v>
      </c>
    </row>
    <row r="21" spans="2:37" ht="15" customHeight="1" thickBot="1" x14ac:dyDescent="0.45">
      <c r="B21" s="224"/>
      <c r="C21" s="226"/>
      <c r="D21" s="15"/>
      <c r="E21" s="226"/>
      <c r="F21" s="15"/>
      <c r="G21" s="181"/>
      <c r="H21" s="143"/>
      <c r="I21" s="228"/>
      <c r="J21" s="18"/>
      <c r="K21" s="228"/>
      <c r="L21" s="18"/>
      <c r="M21" s="143"/>
      <c r="N21" s="228"/>
      <c r="O21" s="18"/>
      <c r="P21" s="228"/>
      <c r="Q21" s="18"/>
      <c r="R21" s="156"/>
      <c r="S21" s="58" t="s">
        <v>169</v>
      </c>
      <c r="T21" s="58" t="s">
        <v>170</v>
      </c>
      <c r="U21" s="58" t="s">
        <v>169</v>
      </c>
      <c r="V21" s="58" t="s">
        <v>170</v>
      </c>
      <c r="W21" s="58" t="str">
        <f>B8</f>
        <v>p1</v>
      </c>
      <c r="X21" s="58" t="str">
        <f>B9</f>
        <v>p0</v>
      </c>
      <c r="Y21" s="58" t="s">
        <v>63</v>
      </c>
      <c r="AA21" s="50" t="s">
        <v>160</v>
      </c>
      <c r="AB21" s="50">
        <f ca="1">IFERROR((AB10+AB15)/((AB11*AC10/AC11)+(AB16*AC15/AC16)),"")</f>
        <v>0.37721210878155614</v>
      </c>
      <c r="AD21" s="20">
        <f>FREQUENCY(W25:W61,AK6:AK7)</f>
        <v>0</v>
      </c>
      <c r="AE21" s="20"/>
      <c r="AF21" s="20"/>
      <c r="AG21" s="54">
        <f t="shared" si="0"/>
        <v>0.34</v>
      </c>
      <c r="AH21" s="50">
        <v>0</v>
      </c>
      <c r="AI21" s="50">
        <v>0</v>
      </c>
      <c r="AJ21" s="50">
        <v>0</v>
      </c>
      <c r="AK21" s="54">
        <f t="shared" si="1"/>
        <v>1.7000000000000004</v>
      </c>
    </row>
    <row r="22" spans="2:37" ht="13.5" x14ac:dyDescent="0.35">
      <c r="B22" s="224" t="s">
        <v>1</v>
      </c>
      <c r="C22" s="233">
        <f>SUM(C18:C21)</f>
        <v>632</v>
      </c>
      <c r="D22" s="16" t="s">
        <v>20</v>
      </c>
      <c r="E22" s="233">
        <f>SUM(E18:E21)</f>
        <v>178</v>
      </c>
      <c r="F22" s="16" t="s">
        <v>19</v>
      </c>
      <c r="G22" s="182"/>
      <c r="H22" s="143"/>
      <c r="I22" s="221">
        <f>IFERROR(I18+I20,"")</f>
        <v>479</v>
      </c>
      <c r="J22" s="16" t="s">
        <v>23</v>
      </c>
      <c r="K22" s="221">
        <f>IFERROR(K18+K20,"")</f>
        <v>11</v>
      </c>
      <c r="L22" s="16" t="s">
        <v>26</v>
      </c>
      <c r="M22" s="143"/>
      <c r="N22" s="221">
        <f>IFERROR(N18+N20,"")</f>
        <v>153</v>
      </c>
      <c r="O22" s="16" t="s">
        <v>29</v>
      </c>
      <c r="P22" s="221">
        <f>IFERROR(P18+P20,"")</f>
        <v>167</v>
      </c>
      <c r="Q22" s="16" t="s">
        <v>32</v>
      </c>
      <c r="S22" s="113">
        <f ca="1">IF(AB22&gt;0,AB22,"")</f>
        <v>0.48826155564083495</v>
      </c>
      <c r="T22" s="113">
        <f ca="1">IF(AB23&gt;0,AB23,"")</f>
        <v>0.33601327786655344</v>
      </c>
      <c r="U22" s="115">
        <f ca="1">IF(L27="","",EXP(LN(L27)-Y6*NORMINV(RAND(),0,1)))</f>
        <v>0.58109939008503009</v>
      </c>
      <c r="V22" s="58">
        <f ca="1">IF(L28="","",EXP(LN(L28)-V6*NORMINV(RAND(),0,1)))</f>
        <v>0.25326794800475572</v>
      </c>
      <c r="W22" s="108">
        <f ca="1">O27</f>
        <v>0.83498407970219968</v>
      </c>
      <c r="X22" s="108">
        <f ca="1">O28</f>
        <v>8.9116770833465142E-2</v>
      </c>
      <c r="Y22" s="114">
        <f ca="1">O29</f>
        <v>0.62741751387306333</v>
      </c>
      <c r="AA22" s="50" t="s">
        <v>167</v>
      </c>
      <c r="AB22" s="54">
        <f ca="1">IFERROR((AB15*AC17/(AB17+AC17)+AB10*AC12/(AB12+AC12))/(AC15*AB17/(AB17+AC17)+AC10*AB12/(AB12+AC12)),"")</f>
        <v>0.48826155564083495</v>
      </c>
      <c r="AC22" s="54"/>
      <c r="AD22" s="20"/>
      <c r="AE22" s="20"/>
      <c r="AF22" s="20"/>
      <c r="AG22" s="54">
        <f t="shared" si="0"/>
        <v>0.36000000000000004</v>
      </c>
      <c r="AH22" s="50">
        <v>0</v>
      </c>
      <c r="AI22" s="50">
        <v>0</v>
      </c>
      <c r="AJ22" s="50">
        <v>0</v>
      </c>
      <c r="AK22" s="54">
        <f t="shared" si="1"/>
        <v>1.8000000000000005</v>
      </c>
    </row>
    <row r="23" spans="2:37" ht="13" x14ac:dyDescent="0.3">
      <c r="B23" s="224"/>
      <c r="C23" s="234"/>
      <c r="D23" s="8"/>
      <c r="E23" s="234"/>
      <c r="F23" s="8"/>
      <c r="G23" s="5"/>
      <c r="H23" s="149"/>
      <c r="I23" s="222"/>
      <c r="J23" s="132"/>
      <c r="K23" s="222"/>
      <c r="L23" s="132"/>
      <c r="N23" s="222"/>
      <c r="O23" s="132"/>
      <c r="P23" s="222"/>
      <c r="Q23" s="132"/>
      <c r="S23" s="50">
        <v>0.54224883510717625</v>
      </c>
      <c r="T23" s="60">
        <v>0.3830348564027809</v>
      </c>
      <c r="U23" s="60">
        <v>0.91941382432979912</v>
      </c>
      <c r="V23" s="50">
        <v>0.50765097176667329</v>
      </c>
      <c r="W23" s="50">
        <v>0.86678792433020146</v>
      </c>
      <c r="X23" s="135">
        <v>8.4992962963421126E-2</v>
      </c>
      <c r="Y23" s="135">
        <v>0.55877809511522969</v>
      </c>
      <c r="AA23" s="50" t="s">
        <v>168</v>
      </c>
      <c r="AB23" s="50">
        <f ca="1">IFERROR((AB15*AC16/(AB17+AC17)+AB10*AC11/(AB12+AC12))/(AC15*AB16/(AB17+AC17)+AC10*AB11/(AB12+AC12)),"")</f>
        <v>0.33601327786655344</v>
      </c>
      <c r="AD23" s="20"/>
      <c r="AE23" s="20"/>
      <c r="AF23" s="20"/>
      <c r="AG23" s="54">
        <f t="shared" si="0"/>
        <v>0.38000000000000006</v>
      </c>
      <c r="AH23" s="50">
        <v>0</v>
      </c>
      <c r="AI23" s="50">
        <v>0</v>
      </c>
      <c r="AJ23" s="50">
        <v>0</v>
      </c>
      <c r="AK23" s="54">
        <f t="shared" si="1"/>
        <v>1.9000000000000006</v>
      </c>
    </row>
    <row r="24" spans="2:37" ht="13" x14ac:dyDescent="0.3">
      <c r="I24" s="235">
        <f>I22+K22</f>
        <v>490</v>
      </c>
      <c r="J24" s="236"/>
      <c r="K24" s="236"/>
      <c r="L24" s="236"/>
      <c r="N24" s="237">
        <f>N22+P22</f>
        <v>320</v>
      </c>
      <c r="O24" s="237"/>
      <c r="P24" s="237"/>
      <c r="Q24" s="237"/>
      <c r="S24" s="50">
        <v>0.47920745870255838</v>
      </c>
      <c r="T24" s="50">
        <v>0.32511463925932288</v>
      </c>
      <c r="U24" s="50">
        <v>0.6177195054283775</v>
      </c>
      <c r="V24" s="50">
        <v>0.3278882945144459</v>
      </c>
      <c r="W24" s="50">
        <v>0.81290078116928988</v>
      </c>
      <c r="X24" s="50">
        <v>5.3883874152869521E-2</v>
      </c>
      <c r="Y24" s="50">
        <v>0.64592245776288171</v>
      </c>
      <c r="AD24" s="20"/>
      <c r="AE24" s="20"/>
      <c r="AF24" s="20"/>
      <c r="AG24" s="54">
        <f t="shared" si="0"/>
        <v>0.40000000000000008</v>
      </c>
      <c r="AH24" s="50">
        <v>0</v>
      </c>
      <c r="AI24" s="50">
        <v>0</v>
      </c>
      <c r="AJ24" s="50">
        <v>0</v>
      </c>
      <c r="AK24" s="54">
        <f t="shared" si="1"/>
        <v>2.0000000000000004</v>
      </c>
    </row>
    <row r="25" spans="2:37" ht="13" x14ac:dyDescent="0.3">
      <c r="B25" s="238" t="str">
        <f>IF(I13&lt;&gt;"",IF(I14&lt;&gt;"",CONCATENATE("Crude and Bias-Adjusted Measures of ",I13,"-",I14," Relationship"),"Crude and Bias-Adjusted Measures"),"Crude and Adjusted Measures")</f>
        <v>Crude and Bias-Adjusted Measures of Circ-HIV Relationship</v>
      </c>
      <c r="C25" s="238"/>
      <c r="D25" s="238"/>
      <c r="E25" s="238"/>
      <c r="F25" s="238"/>
      <c r="G25" s="238"/>
      <c r="H25" s="238"/>
      <c r="I25" s="238"/>
      <c r="J25" s="238"/>
      <c r="K25" s="238"/>
      <c r="L25" s="238"/>
      <c r="M25" s="238"/>
      <c r="N25" s="238"/>
      <c r="O25" s="238"/>
      <c r="P25" s="238"/>
      <c r="Q25" s="238"/>
      <c r="R25" s="31"/>
      <c r="S25" s="50">
        <v>0.4521935195482184</v>
      </c>
      <c r="T25" s="50">
        <v>0.30149335090737833</v>
      </c>
      <c r="U25" s="50">
        <v>0.45268092422848527</v>
      </c>
      <c r="V25" s="50">
        <v>0.362079318172358</v>
      </c>
      <c r="W25" s="50">
        <v>0.76929984654602324</v>
      </c>
      <c r="X25" s="50">
        <v>8.9377105739797041E-2</v>
      </c>
      <c r="Y25" s="50">
        <v>0.67081422128800194</v>
      </c>
      <c r="AD25" s="20"/>
      <c r="AE25" s="20"/>
      <c r="AF25" s="20"/>
      <c r="AG25" s="54">
        <f t="shared" si="0"/>
        <v>0.4200000000000001</v>
      </c>
      <c r="AH25" s="50">
        <v>0</v>
      </c>
      <c r="AI25" s="50">
        <v>0</v>
      </c>
      <c r="AJ25" s="50">
        <v>0</v>
      </c>
      <c r="AK25" s="54">
        <f t="shared" si="1"/>
        <v>2.1000000000000005</v>
      </c>
    </row>
    <row r="26" spans="2:37" ht="13.5" thickBot="1" x14ac:dyDescent="0.35">
      <c r="B26" s="9" t="s">
        <v>6</v>
      </c>
      <c r="C26" s="213" t="s">
        <v>4</v>
      </c>
      <c r="D26" s="213"/>
      <c r="E26" s="213"/>
      <c r="F26" s="213"/>
      <c r="G26" s="31"/>
      <c r="I26" s="213" t="s">
        <v>171</v>
      </c>
      <c r="J26" s="213"/>
      <c r="K26" s="213"/>
      <c r="L26" s="213"/>
      <c r="N26" s="239" t="s">
        <v>64</v>
      </c>
      <c r="O26" s="239"/>
      <c r="P26" s="183"/>
      <c r="Q26" s="183"/>
      <c r="S26" s="50">
        <v>0.43384720269585281</v>
      </c>
      <c r="T26" s="50">
        <v>0.28817644946954096</v>
      </c>
      <c r="U26" s="50">
        <v>0.3349569585387544</v>
      </c>
      <c r="V26" s="50">
        <v>0.24207249374098358</v>
      </c>
      <c r="W26" s="50">
        <v>0.88354838402554681</v>
      </c>
      <c r="X26" s="50">
        <v>8.0182344384248747E-2</v>
      </c>
      <c r="Y26" s="50">
        <v>0.75822950411887646</v>
      </c>
      <c r="AD26" s="20"/>
      <c r="AE26" s="20"/>
      <c r="AF26" s="20"/>
      <c r="AG26" s="54">
        <f t="shared" si="0"/>
        <v>0.44000000000000011</v>
      </c>
      <c r="AH26" s="50">
        <v>0</v>
      </c>
      <c r="AI26" s="50">
        <v>0</v>
      </c>
      <c r="AJ26" s="50">
        <v>0</v>
      </c>
      <c r="AK26" s="54">
        <f t="shared" si="1"/>
        <v>2.2000000000000006</v>
      </c>
    </row>
    <row r="27" spans="2:37" ht="15" x14ac:dyDescent="0.4">
      <c r="B27" s="1" t="str">
        <f>IF(I13&lt;&gt;"",IF(I14&lt;&gt;"",CONCATENATE("RR (",I13,"-",I14,")"),"RR (ED)"),"RR (ED)")</f>
        <v>RR (Circ-HIV)</v>
      </c>
      <c r="C27" s="240" t="str">
        <f>CONCATENATE(ROUND((C18/C22)/(E18/E22),2)," (",ROUND(EXP(LN((C18/C22)/(E18/E22))-1.96*Y4),2)," - ",ROUND(EXP(LN((C18/C22)/(E18/E22))+1.96*Y4),2),")")</f>
        <v>0.35 (0.28 - 0.44)</v>
      </c>
      <c r="D27" s="240"/>
      <c r="E27" s="240"/>
      <c r="F27" s="240"/>
      <c r="G27" s="154"/>
      <c r="I27" s="1" t="str">
        <f>IF(I13&lt;&gt;"",IF(I14&lt;&gt;"",CONCATENATE("RR (",I13,"-",I14,")"),"RR (ED)"),"RR (ED)")</f>
        <v>RR (Circ-HIV)</v>
      </c>
      <c r="K27" s="149"/>
      <c r="L27" s="149">
        <f>IF(OR(I18="",I20="",K18="",K20="",N18="",N20="",P18="",P20="",I18&lt;=0,I20&lt;=0,K18&lt;=0,K20&lt;=0,N18&lt;=0,N20&lt;=0,P18&lt;=0,P20&lt;=0),"",(N18*P22/(N22+P22)+I18*K22/(I22+K22))/(P18*N22/(N22+P22)+K18*I22/(I22+K22)))</f>
        <v>0.54836446844650155</v>
      </c>
      <c r="N27" s="24" t="s">
        <v>60</v>
      </c>
      <c r="O27" s="156">
        <f ca="1">AE3</f>
        <v>0.83498407970219968</v>
      </c>
      <c r="Q27" s="154"/>
      <c r="S27" s="50">
        <v>0.4353298407847675</v>
      </c>
      <c r="T27" s="50">
        <v>0.28728506149276617</v>
      </c>
      <c r="U27" s="50">
        <v>0.42707238064600733</v>
      </c>
      <c r="V27" s="50">
        <v>0.23124120375952475</v>
      </c>
      <c r="W27" s="50">
        <v>0.72536645089644436</v>
      </c>
      <c r="X27" s="50">
        <v>5.3634244414857826E-2</v>
      </c>
      <c r="Y27" s="50">
        <v>0.70578675764492538</v>
      </c>
      <c r="AD27" s="20"/>
      <c r="AE27" s="20"/>
      <c r="AF27" s="20"/>
      <c r="AG27" s="54">
        <f t="shared" si="0"/>
        <v>0.46000000000000013</v>
      </c>
      <c r="AH27" s="50">
        <v>0</v>
      </c>
      <c r="AI27" s="50">
        <v>0</v>
      </c>
      <c r="AJ27" s="50">
        <v>0</v>
      </c>
      <c r="AK27" s="54">
        <f t="shared" si="1"/>
        <v>2.3000000000000007</v>
      </c>
    </row>
    <row r="28" spans="2:37" ht="15" x14ac:dyDescent="0.4">
      <c r="B28" s="1" t="str">
        <f>IF(I13&lt;&gt;"",IF(I14&lt;&gt;"",CONCATENATE("OR (",I13,"-",I14,")"),"OR (ED)"),"OR (ED)")</f>
        <v>OR (Circ-HIV)</v>
      </c>
      <c r="C28" s="240" t="str">
        <f>CONCATENATE(ROUND((C18/C20)/(E18/E20),2)," (",ROUND(EXP(LN((C18/C20)/(E18/E20))-1.96*V4),2)," - ",ROUND(EXP(LN((C18/C20)/(E18/E20))+1.96*V4),2),")")</f>
        <v>0.22 (0.15 - 0.31)</v>
      </c>
      <c r="D28" s="240"/>
      <c r="E28" s="240"/>
      <c r="F28" s="240"/>
      <c r="G28" s="154"/>
      <c r="I28" s="1" t="str">
        <f>IF(I13&lt;&gt;"",IF(I14&lt;&gt;"",CONCATENATE("OR (",I13,"-",I14,")"),"OR (ED)"),"OR (ED)")</f>
        <v>OR (Circ-HIV)</v>
      </c>
      <c r="K28" s="149"/>
      <c r="L28" s="149">
        <f>IF(OR(I18="",I20="",K18="",K20="",N18="",N20="",P18="",P20="",I18&lt;=0,I20&lt;=0,K18&lt;=0,K20&lt;=0,N18&lt;=0,N20&lt;=0,P18&lt;=0,P20&lt;=0),"",(N18*P20/(N22+P22)+I18*K20/(I22+K22))/(P18*N20/(N22+P22)+K18*I20/(I22+K22)))</f>
        <v>0.38830528726476149</v>
      </c>
      <c r="N28" s="24" t="s">
        <v>61</v>
      </c>
      <c r="O28" s="156">
        <f ca="1">AE4</f>
        <v>8.9116770833465142E-2</v>
      </c>
      <c r="Q28" s="154"/>
      <c r="S28" s="50">
        <v>0.48651441250014432</v>
      </c>
      <c r="T28" s="50">
        <v>0.33052601196486198</v>
      </c>
      <c r="U28" s="50">
        <v>0.56805148630691149</v>
      </c>
      <c r="V28" s="50">
        <v>0.27229972494193871</v>
      </c>
      <c r="W28" s="50">
        <v>0.76168040398611248</v>
      </c>
      <c r="X28" s="50">
        <v>7.4149548388795006E-2</v>
      </c>
      <c r="Y28" s="50">
        <v>0.59799577293983108</v>
      </c>
      <c r="AD28" s="20"/>
      <c r="AE28" s="20"/>
      <c r="AF28" s="123"/>
      <c r="AG28" s="54">
        <f t="shared" si="0"/>
        <v>0.48000000000000015</v>
      </c>
      <c r="AH28" s="50">
        <v>0</v>
      </c>
      <c r="AI28" s="50">
        <v>0</v>
      </c>
      <c r="AJ28" s="50">
        <v>0</v>
      </c>
      <c r="AK28" s="54">
        <f t="shared" si="1"/>
        <v>2.4000000000000008</v>
      </c>
    </row>
    <row r="29" spans="2:37" ht="15" x14ac:dyDescent="0.4">
      <c r="C29" s="50"/>
      <c r="E29" s="50"/>
      <c r="F29" s="50"/>
      <c r="G29" s="50"/>
      <c r="I29" s="50"/>
      <c r="K29" s="50"/>
      <c r="L29" s="50"/>
      <c r="N29" s="24" t="s">
        <v>62</v>
      </c>
      <c r="O29" s="184">
        <f ca="1">AE5</f>
        <v>0.62741751387306333</v>
      </c>
      <c r="S29" s="50">
        <v>0.45658380048438957</v>
      </c>
      <c r="T29" s="50">
        <v>0.30501415090686479</v>
      </c>
      <c r="U29" s="50">
        <v>0.533280707634327</v>
      </c>
      <c r="V29" s="50">
        <v>0.34108491108506073</v>
      </c>
      <c r="W29" s="50">
        <v>0.73317517662650999</v>
      </c>
      <c r="X29" s="50">
        <v>4.8523898234864041E-2</v>
      </c>
      <c r="Y29" s="50">
        <v>0.658138810032599</v>
      </c>
      <c r="AD29" s="20"/>
      <c r="AE29" s="20"/>
      <c r="AF29" s="123"/>
      <c r="AG29" s="54">
        <f t="shared" si="0"/>
        <v>0.50000000000000011</v>
      </c>
      <c r="AH29" s="50">
        <v>0</v>
      </c>
      <c r="AI29" s="50">
        <v>0</v>
      </c>
      <c r="AJ29" s="50">
        <v>0</v>
      </c>
      <c r="AK29" s="54">
        <f t="shared" si="1"/>
        <v>2.5000000000000009</v>
      </c>
    </row>
    <row r="30" spans="2:37" ht="13" customHeight="1" x14ac:dyDescent="0.25">
      <c r="B30" s="20"/>
      <c r="C30" s="20"/>
      <c r="D30" s="20"/>
      <c r="H30" s="20"/>
      <c r="I30" s="20"/>
      <c r="J30" s="20"/>
      <c r="M30" s="20">
        <f>IF(I18&gt;0,IF(I20&gt;0,IF(K18&gt;0,IF(K20&gt;0,IF(N18&gt;0,IF(N20&gt;0,IF(P18&gt;0,IF(P20&gt;0,0,1),1),1),1),1),1),1),1)</f>
        <v>0</v>
      </c>
      <c r="S30" s="50">
        <v>0.49781658153786745</v>
      </c>
      <c r="T30" s="50">
        <v>0.33962201936201003</v>
      </c>
      <c r="U30" s="50">
        <v>0.49028363453510299</v>
      </c>
      <c r="V30" s="50">
        <v>0.30784471947866876</v>
      </c>
      <c r="W30" s="50">
        <v>0.7326090474202428</v>
      </c>
      <c r="X30" s="50">
        <v>8.0364654865997434E-2</v>
      </c>
      <c r="Y30" s="50">
        <v>0.55485150076305523</v>
      </c>
      <c r="AD30" s="20"/>
      <c r="AE30" s="20"/>
      <c r="AF30" s="123"/>
      <c r="AG30" s="54">
        <f t="shared" si="0"/>
        <v>0.52000000000000013</v>
      </c>
      <c r="AH30" s="50">
        <v>0</v>
      </c>
      <c r="AI30" s="50">
        <v>0</v>
      </c>
      <c r="AJ30" s="50">
        <v>0</v>
      </c>
      <c r="AK30" s="54">
        <f t="shared" si="1"/>
        <v>2.600000000000001</v>
      </c>
    </row>
    <row r="31" spans="2:37" ht="12" customHeight="1" x14ac:dyDescent="0.3">
      <c r="B31" s="241" t="str">
        <f>CONCATENATE(IF(I13&lt;&gt;"",IF(I14&lt;&gt;"",CONCATENATE(I13,"-",I14," Relationship "),"Results "),"Results "),IF(C14&lt;&gt;"",CONCATENATE("Adjusted for ",C14),"Adjusted for Uncontrolled Confounder"))</f>
        <v>Circ-HIV Relationship Adjusted for Muslim</v>
      </c>
      <c r="C31" s="241"/>
      <c r="D31" s="241"/>
      <c r="E31" s="241"/>
      <c r="F31" s="241"/>
      <c r="G31" s="241"/>
      <c r="H31" s="241"/>
      <c r="I31" s="241"/>
      <c r="J31" s="241"/>
      <c r="K31" s="241"/>
      <c r="L31" s="241"/>
      <c r="M31" s="241"/>
      <c r="N31" s="241"/>
      <c r="O31" s="241"/>
      <c r="P31" s="241"/>
      <c r="Q31" s="241"/>
      <c r="R31" s="31"/>
      <c r="S31" s="50">
        <v>0.44814704735541361</v>
      </c>
      <c r="T31" s="50">
        <v>0.29828825498179024</v>
      </c>
      <c r="U31" s="50">
        <v>0.52500485307272715</v>
      </c>
      <c r="V31" s="50">
        <v>0.47440630870498463</v>
      </c>
      <c r="W31" s="50">
        <v>0.78338057413868423</v>
      </c>
      <c r="X31" s="50">
        <v>4.3455985176026876E-2</v>
      </c>
      <c r="Y31" s="50">
        <v>0.7016469000061577</v>
      </c>
      <c r="AD31" s="20"/>
      <c r="AE31" s="20"/>
      <c r="AF31" s="123"/>
      <c r="AG31" s="54">
        <f>AG30+0.02</f>
        <v>0.54000000000000015</v>
      </c>
      <c r="AH31" s="50">
        <v>0</v>
      </c>
      <c r="AI31" s="50">
        <v>0</v>
      </c>
      <c r="AJ31" s="50">
        <v>0</v>
      </c>
      <c r="AK31" s="54">
        <f t="shared" si="1"/>
        <v>2.7000000000000011</v>
      </c>
    </row>
    <row r="32" spans="2:37" ht="6.75" customHeight="1" x14ac:dyDescent="0.3">
      <c r="B32" s="153"/>
      <c r="C32" s="153"/>
      <c r="D32" s="153"/>
      <c r="E32" s="153"/>
      <c r="F32" s="155"/>
      <c r="G32" s="155"/>
      <c r="H32" s="155"/>
      <c r="I32" s="155"/>
      <c r="J32" s="153"/>
      <c r="K32" s="153"/>
      <c r="L32" s="155"/>
      <c r="M32" s="155"/>
      <c r="N32" s="155"/>
      <c r="O32" s="153"/>
      <c r="P32" s="153"/>
      <c r="Q32" s="153"/>
      <c r="S32" s="50">
        <v>0.45266313605968639</v>
      </c>
      <c r="T32" s="50">
        <v>0.30200989858345406</v>
      </c>
      <c r="U32" s="50">
        <v>0.64424740884606291</v>
      </c>
      <c r="V32" s="50">
        <v>0.22822953384673023</v>
      </c>
      <c r="W32" s="50">
        <v>0.77106294020623045</v>
      </c>
      <c r="X32" s="50">
        <v>5.2839978732105428E-2</v>
      </c>
      <c r="Y32" s="50">
        <v>0.68320377187253056</v>
      </c>
      <c r="AD32" s="20"/>
      <c r="AE32" s="20"/>
      <c r="AF32" s="20"/>
      <c r="AG32" s="54">
        <f t="shared" si="0"/>
        <v>0.56000000000000016</v>
      </c>
      <c r="AH32" s="50">
        <v>0</v>
      </c>
      <c r="AI32" s="50">
        <v>0</v>
      </c>
      <c r="AJ32" s="50">
        <v>0</v>
      </c>
      <c r="AK32" s="54">
        <f t="shared" si="1"/>
        <v>2.8000000000000012</v>
      </c>
    </row>
    <row r="33" spans="2:37" ht="13" x14ac:dyDescent="0.3">
      <c r="B33" s="241" t="str">
        <f>CONCATENATE("RR Simulation Results (N=",COUNT(U23:U50000),")")</f>
        <v>RR Simulation Results (N=87)</v>
      </c>
      <c r="C33" s="241"/>
      <c r="D33" s="241"/>
      <c r="E33" s="241"/>
      <c r="F33" s="241"/>
      <c r="G33" s="241"/>
      <c r="I33" s="241" t="str">
        <f>CONCATENATE("OR Simulation Results (N=",COUNT(V23:V50000),")")</f>
        <v>OR Simulation Results (N=87)</v>
      </c>
      <c r="J33" s="241"/>
      <c r="K33" s="241"/>
      <c r="L33" s="241"/>
      <c r="M33" s="241"/>
      <c r="N33" s="241"/>
      <c r="O33" s="1"/>
      <c r="P33" s="242" t="s">
        <v>177</v>
      </c>
      <c r="Q33" s="155"/>
      <c r="S33" s="50">
        <v>0.47201604038357242</v>
      </c>
      <c r="T33" s="50">
        <v>0.32032219693727615</v>
      </c>
      <c r="U33" s="50">
        <v>0.37377671586838029</v>
      </c>
      <c r="V33" s="50">
        <v>0.24972527878893425</v>
      </c>
      <c r="W33" s="50">
        <v>0.88995813946085511</v>
      </c>
      <c r="X33" s="50">
        <v>5.4023325906780058E-2</v>
      </c>
      <c r="Y33" s="50">
        <v>0.6907365462009325</v>
      </c>
      <c r="AD33" s="20"/>
      <c r="AE33" s="20"/>
      <c r="AF33" s="20"/>
      <c r="AG33" s="54">
        <f t="shared" si="0"/>
        <v>0.58000000000000018</v>
      </c>
      <c r="AH33" s="50">
        <v>0</v>
      </c>
      <c r="AI33" s="50">
        <v>0</v>
      </c>
      <c r="AJ33" s="50">
        <v>0</v>
      </c>
      <c r="AK33" s="54">
        <f t="shared" si="1"/>
        <v>2.9000000000000012</v>
      </c>
    </row>
    <row r="34" spans="2:37" ht="15" x14ac:dyDescent="0.3">
      <c r="B34" s="35" t="s">
        <v>68</v>
      </c>
      <c r="C34" s="241" t="s">
        <v>69</v>
      </c>
      <c r="D34" s="241"/>
      <c r="E34" s="241"/>
      <c r="F34" s="241"/>
      <c r="G34" s="241"/>
      <c r="I34" s="35" t="s">
        <v>68</v>
      </c>
      <c r="J34" s="241" t="s">
        <v>69</v>
      </c>
      <c r="K34" s="241"/>
      <c r="L34" s="241"/>
      <c r="M34" s="241"/>
      <c r="N34" s="241"/>
      <c r="P34" s="243"/>
      <c r="Q34" s="155"/>
      <c r="S34" s="50">
        <v>0.42775213977664017</v>
      </c>
      <c r="T34" s="50">
        <v>0.28122280776587427</v>
      </c>
      <c r="U34" s="50">
        <v>0.45520254959372447</v>
      </c>
      <c r="V34" s="50">
        <v>0.29150201060561942</v>
      </c>
      <c r="W34" s="50">
        <v>0.74709437091088693</v>
      </c>
      <c r="X34" s="50">
        <v>9.077500240917992E-2</v>
      </c>
      <c r="Y34" s="50">
        <v>0.72277773358585662</v>
      </c>
      <c r="AD34" s="20"/>
      <c r="AE34" s="20"/>
      <c r="AF34" s="20"/>
      <c r="AG34" s="54">
        <f t="shared" si="0"/>
        <v>0.6000000000000002</v>
      </c>
      <c r="AH34" s="50">
        <v>0</v>
      </c>
      <c r="AI34" s="50">
        <v>0</v>
      </c>
      <c r="AJ34" s="50">
        <v>0</v>
      </c>
      <c r="AK34" s="54">
        <f t="shared" si="1"/>
        <v>3.0000000000000013</v>
      </c>
    </row>
    <row r="35" spans="2:37" ht="13" x14ac:dyDescent="0.3">
      <c r="B35" s="1" t="s">
        <v>65</v>
      </c>
      <c r="C35" s="245" t="str">
        <f>C27</f>
        <v>0.35 (0.28 - 0.44)</v>
      </c>
      <c r="D35" s="246"/>
      <c r="E35" s="246"/>
      <c r="F35" s="246"/>
      <c r="G35" s="246"/>
      <c r="I35" s="1" t="s">
        <v>65</v>
      </c>
      <c r="J35" s="154"/>
      <c r="K35" s="245" t="str">
        <f>C28</f>
        <v>0.22 (0.15 - 0.31)</v>
      </c>
      <c r="L35" s="246"/>
      <c r="M35" s="246"/>
      <c r="N35" s="246"/>
      <c r="P35" s="249">
        <v>0</v>
      </c>
      <c r="Q35" s="155"/>
      <c r="S35" s="50">
        <v>0.48512010752924922</v>
      </c>
      <c r="T35" s="50">
        <v>0.32909230004561651</v>
      </c>
      <c r="U35" s="50">
        <v>0.48240924581476091</v>
      </c>
      <c r="V35" s="50">
        <v>0.27771008658757101</v>
      </c>
      <c r="W35" s="50">
        <v>0.71259682142249636</v>
      </c>
      <c r="X35" s="50">
        <v>5.2772645167358696E-2</v>
      </c>
      <c r="Y35" s="50">
        <v>0.58084182680135077</v>
      </c>
      <c r="AD35" s="20"/>
      <c r="AE35" s="20"/>
      <c r="AF35" s="20"/>
      <c r="AG35" s="54">
        <f t="shared" si="0"/>
        <v>0.62000000000000022</v>
      </c>
      <c r="AH35" s="50">
        <v>0</v>
      </c>
      <c r="AI35" s="50">
        <v>0</v>
      </c>
      <c r="AJ35" s="50">
        <v>0</v>
      </c>
      <c r="AK35" s="54">
        <f t="shared" si="1"/>
        <v>3.1000000000000014</v>
      </c>
    </row>
    <row r="36" spans="2:37" ht="13" x14ac:dyDescent="0.3">
      <c r="B36" s="1" t="s">
        <v>66</v>
      </c>
      <c r="C36" s="247" t="str">
        <f>IF(COUNTA(S23:S400000)&gt;0,CONCATENATE(ROUND(PERCENTILE(S23:S50019,0.5),2)," (",ROUND(PERCENTILE(S23:S50019,0.025),2)," - ",ROUND(PERCENTILE(S23:S50019,0.975),2),")"),"")</f>
        <v>0.48 (0.42 - 0.54)</v>
      </c>
      <c r="D36" s="247"/>
      <c r="E36" s="247"/>
      <c r="F36" s="247"/>
      <c r="G36" s="247"/>
      <c r="I36" s="1" t="s">
        <v>66</v>
      </c>
      <c r="J36" s="154"/>
      <c r="K36" s="247" t="str">
        <f>IF(COUNTA(T23:T400000)&gt;0,CONCATENATE(ROUND(PERCENTILE(T23:T50019,0.5),2)," (",ROUND(PERCENTILE(T23:T50019,0.025),2)," - ",ROUND(PERCENTILE(T23:T50019,0.975),2),")"),"")</f>
        <v>0.32 (0.27 - 0.38)</v>
      </c>
      <c r="L36" s="247"/>
      <c r="M36" s="247"/>
      <c r="N36" s="247"/>
      <c r="P36" s="250"/>
      <c r="Q36" s="153"/>
      <c r="S36" s="50">
        <v>0.54972378992828963</v>
      </c>
      <c r="T36" s="50">
        <v>0.38898501733778179</v>
      </c>
      <c r="U36" s="50" t="s">
        <v>176</v>
      </c>
      <c r="V36" s="50" t="s">
        <v>176</v>
      </c>
      <c r="W36" s="50">
        <v>0.80810439884933427</v>
      </c>
      <c r="X36" s="50">
        <v>4.1331879509019002E-2</v>
      </c>
      <c r="Y36" s="50">
        <v>0.53051834374946971</v>
      </c>
      <c r="AA36" s="136"/>
      <c r="AB36" s="136"/>
      <c r="AC36" s="136"/>
      <c r="AD36" s="20"/>
      <c r="AE36" s="20"/>
      <c r="AF36" s="20"/>
      <c r="AG36" s="54">
        <f t="shared" si="0"/>
        <v>0.64000000000000024</v>
      </c>
      <c r="AH36" s="50">
        <v>0</v>
      </c>
      <c r="AI36" s="50">
        <v>0</v>
      </c>
      <c r="AJ36" s="50">
        <v>0</v>
      </c>
      <c r="AK36" s="54">
        <f t="shared" si="1"/>
        <v>3.2000000000000015</v>
      </c>
    </row>
    <row r="37" spans="2:37" ht="13" x14ac:dyDescent="0.3">
      <c r="B37" s="9" t="s">
        <v>67</v>
      </c>
      <c r="C37" s="248" t="str">
        <f>IF(COUNTA(U23:U400000)&gt;0,CONCATENATE(ROUND(PERCENTILE(U23:U50019,0.5),2)," (",ROUND(PERCENTILE(U23:U50019,0.025),2)," - ",ROUND(PERCENTILE(U23:U50019,0.975),2),")"),"")</f>
        <v>0.48 (0.32 - 0.67)</v>
      </c>
      <c r="D37" s="248"/>
      <c r="E37" s="248"/>
      <c r="F37" s="248"/>
      <c r="G37" s="248"/>
      <c r="I37" s="9" t="s">
        <v>67</v>
      </c>
      <c r="J37" s="152"/>
      <c r="K37" s="248" t="str">
        <f>IF(COUNTA(V23:V400000)&gt;0,CONCATENATE(ROUND(PERCENTILE(V23:V50019,0.5),2)," (",ROUND(PERCENTILE(V23:V50019,0.025),2)," - ",ROUND(PERCENTILE(V23:V50019,0.975),2),")"),"")</f>
        <v>0.32 (0.2 - 0.54)</v>
      </c>
      <c r="L37" s="248"/>
      <c r="M37" s="248"/>
      <c r="N37" s="248"/>
      <c r="O37" s="146"/>
      <c r="P37" s="251"/>
      <c r="Q37" s="185"/>
      <c r="R37" s="1"/>
      <c r="S37" s="50">
        <v>0.51173204031070185</v>
      </c>
      <c r="T37" s="50">
        <v>0.35565942453695654</v>
      </c>
      <c r="U37" s="50">
        <v>0.41852254636097386</v>
      </c>
      <c r="V37" s="50">
        <v>0.29652594591989173</v>
      </c>
      <c r="W37" s="50">
        <v>0.88634699654757865</v>
      </c>
      <c r="X37" s="50">
        <v>6.1316609812370956E-2</v>
      </c>
      <c r="Y37" s="50">
        <v>0.62100399067015055</v>
      </c>
      <c r="AA37" s="136"/>
      <c r="AB37" s="136"/>
      <c r="AC37" s="136"/>
      <c r="AD37" s="20"/>
      <c r="AE37" s="20"/>
      <c r="AF37" s="20"/>
      <c r="AG37" s="54">
        <f t="shared" si="0"/>
        <v>0.66000000000000025</v>
      </c>
      <c r="AH37" s="50">
        <v>0</v>
      </c>
      <c r="AI37" s="50">
        <v>0</v>
      </c>
      <c r="AJ37" s="50">
        <v>0</v>
      </c>
      <c r="AK37" s="54">
        <f t="shared" si="1"/>
        <v>3.3000000000000016</v>
      </c>
    </row>
    <row r="38" spans="2:37" ht="13" x14ac:dyDescent="0.3">
      <c r="B38" s="153"/>
      <c r="C38" s="153"/>
      <c r="D38" s="153"/>
      <c r="E38" s="153"/>
      <c r="F38" s="153"/>
      <c r="G38" s="153"/>
      <c r="H38" s="153"/>
      <c r="I38" s="153"/>
      <c r="J38" s="155"/>
      <c r="K38" s="186"/>
      <c r="L38" s="153"/>
      <c r="M38" s="186"/>
      <c r="N38" s="187"/>
      <c r="O38" s="186"/>
      <c r="P38" s="153"/>
      <c r="Q38" s="153"/>
      <c r="S38" s="50">
        <v>0.45119103045253733</v>
      </c>
      <c r="T38" s="50">
        <v>0.30125578866095964</v>
      </c>
      <c r="U38" s="50">
        <v>0.38714081699832975</v>
      </c>
      <c r="V38" s="50">
        <v>0.31678221367236559</v>
      </c>
      <c r="W38" s="50">
        <v>0.81269622475009451</v>
      </c>
      <c r="X38" s="50">
        <v>6.614773210112071E-2</v>
      </c>
      <c r="Y38" s="50">
        <v>0.6994888091200665</v>
      </c>
      <c r="AA38" s="136"/>
      <c r="AB38" s="124"/>
      <c r="AC38" s="124"/>
      <c r="AD38" s="20"/>
      <c r="AE38" s="20"/>
      <c r="AF38" s="20"/>
      <c r="AG38" s="54">
        <f t="shared" si="0"/>
        <v>0.68000000000000027</v>
      </c>
      <c r="AH38" s="50">
        <v>0</v>
      </c>
      <c r="AI38" s="50">
        <v>0</v>
      </c>
      <c r="AJ38" s="50">
        <v>0</v>
      </c>
      <c r="AK38" s="54">
        <f t="shared" si="1"/>
        <v>3.4000000000000017</v>
      </c>
    </row>
    <row r="39" spans="2:37" ht="13" x14ac:dyDescent="0.3">
      <c r="H39" s="188">
        <f ca="1">O29</f>
        <v>0.62741751387306333</v>
      </c>
      <c r="I39" s="153"/>
      <c r="J39" s="153"/>
      <c r="K39" s="153"/>
      <c r="L39" s="153"/>
      <c r="M39" s="153"/>
      <c r="N39" s="153"/>
      <c r="O39" s="153"/>
      <c r="P39" s="153"/>
      <c r="Q39" s="153"/>
      <c r="R39" s="24"/>
      <c r="S39" s="50">
        <v>0.5439796085533386</v>
      </c>
      <c r="T39" s="50">
        <v>0.38349097357326306</v>
      </c>
      <c r="U39" s="50">
        <v>0.54665630592592573</v>
      </c>
      <c r="V39" s="50">
        <v>0.36563913841058404</v>
      </c>
      <c r="W39" s="50">
        <v>0.80163281086964988</v>
      </c>
      <c r="X39" s="50">
        <v>4.0308548521832625E-2</v>
      </c>
      <c r="Y39" s="50">
        <v>0.53544498097340765</v>
      </c>
      <c r="AA39" s="136"/>
      <c r="AB39" s="124"/>
      <c r="AC39" s="124"/>
      <c r="AD39" s="20"/>
      <c r="AE39" s="20"/>
      <c r="AF39" s="20"/>
      <c r="AG39" s="54">
        <f t="shared" si="0"/>
        <v>0.70000000000000029</v>
      </c>
      <c r="AH39" s="50">
        <v>0</v>
      </c>
      <c r="AI39" s="50">
        <v>0</v>
      </c>
      <c r="AJ39" s="50">
        <v>0</v>
      </c>
      <c r="AK39" s="54">
        <f t="shared" si="1"/>
        <v>3.5000000000000018</v>
      </c>
    </row>
    <row r="40" spans="2:37" ht="13" x14ac:dyDescent="0.3">
      <c r="B40" s="64"/>
      <c r="C40" s="64"/>
      <c r="D40" s="64"/>
      <c r="E40" s="20"/>
      <c r="F40" s="189"/>
      <c r="G40" s="189"/>
      <c r="H40" s="188"/>
      <c r="I40" s="153"/>
      <c r="J40" s="153"/>
      <c r="K40" s="153"/>
      <c r="L40" s="153"/>
      <c r="M40" s="153"/>
      <c r="N40" s="153"/>
      <c r="O40" s="153"/>
      <c r="P40" s="153"/>
      <c r="Q40" s="153"/>
      <c r="R40" s="190"/>
      <c r="S40" s="50">
        <v>0.48359996765362534</v>
      </c>
      <c r="T40" s="50">
        <v>0.33064703794346956</v>
      </c>
      <c r="U40" s="50">
        <v>0.36835068346710126</v>
      </c>
      <c r="V40" s="50">
        <v>0.39572464907496374</v>
      </c>
      <c r="W40" s="50">
        <v>0.88612428709733226</v>
      </c>
      <c r="X40" s="50">
        <v>6.6690835545287569E-2</v>
      </c>
      <c r="Y40" s="50">
        <v>0.66524589594626504</v>
      </c>
      <c r="AA40" s="136"/>
      <c r="AB40" s="124"/>
      <c r="AC40" s="124"/>
      <c r="AG40" s="54">
        <f t="shared" si="0"/>
        <v>0.72000000000000031</v>
      </c>
      <c r="AH40" s="50">
        <v>2</v>
      </c>
      <c r="AI40" s="50">
        <v>0</v>
      </c>
      <c r="AJ40" s="50">
        <v>0</v>
      </c>
      <c r="AK40" s="54">
        <f t="shared" si="1"/>
        <v>3.6000000000000019</v>
      </c>
    </row>
    <row r="41" spans="2:37" ht="38.25" customHeight="1" x14ac:dyDescent="0.25">
      <c r="B41" s="64"/>
      <c r="C41" s="64"/>
      <c r="D41" s="64"/>
      <c r="E41" s="20"/>
      <c r="F41" s="189"/>
      <c r="G41" s="189"/>
      <c r="H41" s="188"/>
      <c r="I41" s="153"/>
      <c r="J41" s="153"/>
      <c r="K41" s="153"/>
      <c r="L41" s="153"/>
      <c r="M41" s="153"/>
      <c r="N41" s="153"/>
      <c r="O41" s="153"/>
      <c r="P41" s="153"/>
      <c r="Q41" s="153"/>
      <c r="R41" s="190"/>
      <c r="S41" s="50">
        <v>0.43545526880925062</v>
      </c>
      <c r="T41" s="50">
        <v>0.2877032675432955</v>
      </c>
      <c r="U41" s="50">
        <v>0.78661191692960608</v>
      </c>
      <c r="V41" s="50">
        <v>0.29663546999649348</v>
      </c>
      <c r="W41" s="50">
        <v>0.78380303064528267</v>
      </c>
      <c r="X41" s="50">
        <v>4.2099726428291448E-2</v>
      </c>
      <c r="Y41" s="50">
        <v>0.7320177741273256</v>
      </c>
      <c r="AA41" s="191"/>
      <c r="AB41" s="191"/>
      <c r="AC41" s="191"/>
      <c r="AG41" s="54">
        <f t="shared" si="0"/>
        <v>0.74000000000000032</v>
      </c>
      <c r="AH41" s="50">
        <v>5</v>
      </c>
      <c r="AI41" s="50">
        <v>0</v>
      </c>
      <c r="AJ41" s="50">
        <v>0</v>
      </c>
      <c r="AK41" s="54">
        <f t="shared" si="1"/>
        <v>3.700000000000002</v>
      </c>
    </row>
    <row r="42" spans="2:37" ht="13" x14ac:dyDescent="0.3">
      <c r="B42" s="64"/>
      <c r="C42" s="64"/>
      <c r="D42" s="64"/>
      <c r="E42" s="20"/>
      <c r="F42" s="189"/>
      <c r="G42" s="189"/>
      <c r="H42" s="188"/>
      <c r="I42" s="153"/>
      <c r="J42" s="153"/>
      <c r="K42" s="153"/>
      <c r="L42" s="153"/>
      <c r="M42" s="153"/>
      <c r="N42" s="153"/>
      <c r="O42" s="153"/>
      <c r="P42" s="153"/>
      <c r="Q42" s="153"/>
      <c r="S42" s="50">
        <v>0.45855558871699748</v>
      </c>
      <c r="T42" s="50">
        <v>0.30717776910644262</v>
      </c>
      <c r="U42" s="50">
        <v>0.39406019105207346</v>
      </c>
      <c r="V42" s="50">
        <v>0.28349920360968556</v>
      </c>
      <c r="W42" s="50">
        <v>0.79804771281354503</v>
      </c>
      <c r="X42" s="50">
        <v>4.1795976498581931E-2</v>
      </c>
      <c r="Y42" s="50">
        <v>0.68515076368790739</v>
      </c>
      <c r="AA42" s="126"/>
      <c r="AB42" s="124"/>
      <c r="AC42" s="124"/>
      <c r="AG42" s="54">
        <f t="shared" si="0"/>
        <v>0.76000000000000034</v>
      </c>
      <c r="AH42" s="50">
        <v>10</v>
      </c>
      <c r="AI42" s="50">
        <v>0</v>
      </c>
      <c r="AJ42" s="50">
        <v>0</v>
      </c>
      <c r="AK42" s="54">
        <f t="shared" si="1"/>
        <v>3.800000000000002</v>
      </c>
    </row>
    <row r="43" spans="2:37" ht="13" x14ac:dyDescent="0.3">
      <c r="B43" s="64"/>
      <c r="C43" s="64"/>
      <c r="D43" s="64"/>
      <c r="E43" s="20"/>
      <c r="F43" s="189"/>
      <c r="G43" s="189"/>
      <c r="H43" s="188"/>
      <c r="I43" s="153"/>
      <c r="J43" s="153"/>
      <c r="K43" s="153"/>
      <c r="L43" s="153"/>
      <c r="M43" s="153"/>
      <c r="N43" s="153"/>
      <c r="O43" s="153"/>
      <c r="P43" s="153"/>
      <c r="Q43" s="153"/>
      <c r="R43" s="1"/>
      <c r="S43" s="50">
        <v>0.49900837383541641</v>
      </c>
      <c r="T43" s="50">
        <v>0.34232509070351114</v>
      </c>
      <c r="U43" s="50" t="s">
        <v>176</v>
      </c>
      <c r="V43" s="50" t="s">
        <v>176</v>
      </c>
      <c r="W43" s="50">
        <v>0.79942207403661614</v>
      </c>
      <c r="X43" s="50">
        <v>4.5813890837032432E-2</v>
      </c>
      <c r="Y43" s="50">
        <v>0.60547896202350271</v>
      </c>
      <c r="AA43" s="126"/>
      <c r="AB43" s="124"/>
      <c r="AC43" s="136"/>
      <c r="AG43" s="54">
        <f t="shared" si="0"/>
        <v>0.78000000000000036</v>
      </c>
      <c r="AH43" s="50">
        <v>19</v>
      </c>
      <c r="AI43" s="50">
        <v>0</v>
      </c>
      <c r="AJ43" s="50">
        <v>0</v>
      </c>
      <c r="AK43" s="54">
        <f t="shared" si="1"/>
        <v>3.9000000000000021</v>
      </c>
    </row>
    <row r="44" spans="2:37" ht="13" x14ac:dyDescent="0.3">
      <c r="B44" s="64"/>
      <c r="C44" s="64"/>
      <c r="D44" s="64"/>
      <c r="E44" s="20"/>
      <c r="F44" s="189"/>
      <c r="G44" s="189"/>
      <c r="H44" s="188"/>
      <c r="I44" s="153"/>
      <c r="J44" s="153"/>
      <c r="K44" s="153"/>
      <c r="L44" s="153"/>
      <c r="M44" s="153"/>
      <c r="N44" s="153"/>
      <c r="O44" s="153"/>
      <c r="P44" s="153"/>
      <c r="Q44" s="153"/>
      <c r="S44" s="50">
        <v>0.41601523077111108</v>
      </c>
      <c r="T44" s="50">
        <v>0.27199018353842458</v>
      </c>
      <c r="U44" s="50">
        <v>0.46721380714187344</v>
      </c>
      <c r="V44" s="50">
        <v>0.31344415852960278</v>
      </c>
      <c r="W44" s="50">
        <v>0.77435472148392293</v>
      </c>
      <c r="X44" s="50">
        <v>8.5753937335171601E-2</v>
      </c>
      <c r="Y44" s="50">
        <v>0.76702637930350115</v>
      </c>
      <c r="AA44" s="126"/>
      <c r="AB44" s="124"/>
      <c r="AC44" s="136"/>
      <c r="AG44" s="54">
        <f t="shared" si="0"/>
        <v>0.80000000000000038</v>
      </c>
      <c r="AH44" s="50">
        <v>18</v>
      </c>
      <c r="AI44" s="50">
        <v>0</v>
      </c>
      <c r="AJ44" s="50">
        <v>0</v>
      </c>
      <c r="AK44" s="54">
        <f t="shared" si="1"/>
        <v>4.0000000000000018</v>
      </c>
    </row>
    <row r="45" spans="2:37" ht="13" x14ac:dyDescent="0.3">
      <c r="B45" s="64"/>
      <c r="C45" s="64"/>
      <c r="D45" s="64"/>
      <c r="E45" s="20"/>
      <c r="F45" s="189"/>
      <c r="G45" s="189"/>
      <c r="H45" s="188"/>
      <c r="I45" s="153"/>
      <c r="J45" s="153"/>
      <c r="K45" s="153"/>
      <c r="L45" s="153"/>
      <c r="M45" s="153"/>
      <c r="N45" s="153"/>
      <c r="O45" s="153"/>
      <c r="P45" s="153"/>
      <c r="Q45" s="153"/>
      <c r="R45" s="24"/>
      <c r="S45" s="50">
        <v>0.48115174984544479</v>
      </c>
      <c r="T45" s="50">
        <v>0.32723226272831357</v>
      </c>
      <c r="U45" s="50">
        <v>0.39602428733579559</v>
      </c>
      <c r="V45" s="50">
        <v>0.35948998004578736</v>
      </c>
      <c r="W45" s="50">
        <v>0.84479670653255423</v>
      </c>
      <c r="X45" s="50">
        <v>4.8136740250589512E-2</v>
      </c>
      <c r="Y45" s="50">
        <v>0.65812909565515898</v>
      </c>
      <c r="AA45" s="191"/>
      <c r="AB45" s="191"/>
      <c r="AC45" s="191"/>
      <c r="AG45" s="54">
        <f t="shared" si="0"/>
        <v>0.8200000000000004</v>
      </c>
      <c r="AH45" s="50">
        <v>14</v>
      </c>
      <c r="AI45" s="50">
        <v>0</v>
      </c>
      <c r="AJ45" s="50">
        <v>0</v>
      </c>
      <c r="AK45" s="54">
        <f t="shared" si="1"/>
        <v>4.1000000000000014</v>
      </c>
    </row>
    <row r="46" spans="2:37" x14ac:dyDescent="0.25">
      <c r="B46" s="71"/>
      <c r="C46" s="71"/>
      <c r="D46" s="71"/>
      <c r="E46" s="11"/>
      <c r="F46" s="72"/>
      <c r="G46" s="72"/>
      <c r="H46" s="73"/>
      <c r="I46" s="74"/>
      <c r="J46" s="74"/>
      <c r="K46" s="74"/>
      <c r="L46" s="74"/>
      <c r="M46" s="74"/>
      <c r="N46" s="74"/>
      <c r="O46" s="74"/>
      <c r="P46" s="74"/>
      <c r="Q46" s="74"/>
      <c r="S46" s="50">
        <v>0.521372031991444</v>
      </c>
      <c r="T46" s="50">
        <v>0.36288919980900819</v>
      </c>
      <c r="U46" s="50">
        <v>0.49804748957479789</v>
      </c>
      <c r="V46" s="50">
        <v>0.33582158703407189</v>
      </c>
      <c r="W46" s="50">
        <v>0.83250481339927807</v>
      </c>
      <c r="X46" s="50">
        <v>6.2081548690908206E-2</v>
      </c>
      <c r="Y46" s="50">
        <v>0.57944293885679576</v>
      </c>
      <c r="AA46" s="191"/>
      <c r="AB46" s="191"/>
      <c r="AC46" s="191"/>
      <c r="AG46" s="54">
        <f>AG45+0.02</f>
        <v>0.84000000000000041</v>
      </c>
      <c r="AH46" s="50">
        <v>10</v>
      </c>
      <c r="AI46" s="50">
        <v>0</v>
      </c>
      <c r="AJ46" s="50">
        <v>0</v>
      </c>
      <c r="AK46" s="54">
        <f t="shared" si="1"/>
        <v>4.2000000000000011</v>
      </c>
    </row>
    <row r="47" spans="2:37" ht="13" x14ac:dyDescent="0.3">
      <c r="B47" s="252" t="s">
        <v>9</v>
      </c>
      <c r="C47" s="252"/>
      <c r="D47" s="252"/>
      <c r="E47" s="252"/>
      <c r="F47" s="252"/>
      <c r="G47" s="252"/>
      <c r="H47" s="252"/>
      <c r="I47" s="252"/>
      <c r="J47" s="252"/>
      <c r="K47" s="252"/>
      <c r="L47" s="252"/>
      <c r="M47" s="252"/>
      <c r="N47" s="252"/>
      <c r="O47" s="252"/>
      <c r="P47" s="252"/>
      <c r="Q47" s="252"/>
      <c r="S47" s="50">
        <v>0.48459750355418074</v>
      </c>
      <c r="T47" s="50">
        <v>0.33054863013643143</v>
      </c>
      <c r="U47" s="50">
        <v>0.64022197398117087</v>
      </c>
      <c r="V47" s="50">
        <v>0.2906954923883534</v>
      </c>
      <c r="W47" s="50">
        <v>0.85937477687844788</v>
      </c>
      <c r="X47" s="50">
        <v>5.1344068595546355E-2</v>
      </c>
      <c r="Y47" s="50">
        <v>0.65708309914766105</v>
      </c>
      <c r="AA47" s="126"/>
      <c r="AB47" s="126"/>
      <c r="AC47" s="191"/>
      <c r="AG47" s="54">
        <f t="shared" si="0"/>
        <v>0.86000000000000043</v>
      </c>
      <c r="AH47" s="50">
        <v>10</v>
      </c>
      <c r="AI47" s="50">
        <v>0</v>
      </c>
      <c r="AJ47" s="50">
        <v>0</v>
      </c>
      <c r="AK47" s="54">
        <f t="shared" si="1"/>
        <v>4.3000000000000007</v>
      </c>
    </row>
    <row r="48" spans="2:37" ht="13" x14ac:dyDescent="0.3">
      <c r="B48" s="253"/>
      <c r="C48" s="253"/>
      <c r="D48" s="253"/>
      <c r="E48" s="253"/>
      <c r="F48" s="253"/>
      <c r="G48" s="253"/>
      <c r="H48" s="253"/>
      <c r="I48" s="253"/>
      <c r="J48" s="253"/>
      <c r="K48" s="253"/>
      <c r="L48" s="253"/>
      <c r="M48" s="253"/>
      <c r="N48" s="253"/>
      <c r="O48" s="253"/>
      <c r="P48" s="253"/>
      <c r="Q48" s="253"/>
      <c r="S48" s="50">
        <v>0.47820451379904494</v>
      </c>
      <c r="T48" s="50">
        <v>0.32343745664279228</v>
      </c>
      <c r="U48" s="50">
        <v>0.60524598594092949</v>
      </c>
      <c r="V48" s="50">
        <v>0.4448842286060698</v>
      </c>
      <c r="W48" s="50">
        <v>0.74848606212033897</v>
      </c>
      <c r="X48" s="50">
        <v>5.8281592867296922E-2</v>
      </c>
      <c r="Y48" s="50">
        <v>0.6141315406475768</v>
      </c>
      <c r="AA48" s="126"/>
      <c r="AB48" s="126"/>
      <c r="AC48" s="191"/>
      <c r="AG48" s="54">
        <f t="shared" si="0"/>
        <v>0.88000000000000045</v>
      </c>
      <c r="AH48" s="50">
        <v>5</v>
      </c>
      <c r="AI48" s="50">
        <v>0</v>
      </c>
      <c r="AJ48" s="50">
        <v>0</v>
      </c>
      <c r="AK48" s="54">
        <f t="shared" si="1"/>
        <v>4.4000000000000004</v>
      </c>
    </row>
    <row r="49" spans="2:37" x14ac:dyDescent="0.25">
      <c r="B49" s="244" t="s">
        <v>195</v>
      </c>
      <c r="C49" s="244"/>
      <c r="D49" s="244"/>
      <c r="E49" s="244"/>
      <c r="F49" s="244"/>
      <c r="G49" s="244"/>
      <c r="H49" s="244"/>
      <c r="I49" s="244"/>
      <c r="J49" s="244"/>
      <c r="K49" s="244"/>
      <c r="L49" s="244"/>
      <c r="M49" s="244"/>
      <c r="N49" s="244"/>
      <c r="O49" s="244"/>
      <c r="P49" s="244"/>
      <c r="Q49" s="244"/>
      <c r="S49" s="50">
        <v>0.45690451082539774</v>
      </c>
      <c r="T49" s="50">
        <v>0.30564399967778694</v>
      </c>
      <c r="U49" s="50">
        <v>0.417483599923408</v>
      </c>
      <c r="V49" s="50">
        <v>0.24307834395816832</v>
      </c>
      <c r="W49" s="50">
        <v>0.77827889100750391</v>
      </c>
      <c r="X49" s="50">
        <v>5.2356486939613645E-2</v>
      </c>
      <c r="Y49" s="50">
        <v>0.67695697017929102</v>
      </c>
      <c r="AG49" s="54">
        <f t="shared" si="0"/>
        <v>0.90000000000000047</v>
      </c>
      <c r="AH49" s="50">
        <v>7</v>
      </c>
      <c r="AI49" s="50">
        <v>0</v>
      </c>
      <c r="AJ49" s="50">
        <v>0</v>
      </c>
      <c r="AK49" s="54">
        <f t="shared" si="1"/>
        <v>4.5</v>
      </c>
    </row>
    <row r="50" spans="2:37" x14ac:dyDescent="0.25">
      <c r="B50" s="244"/>
      <c r="C50" s="244"/>
      <c r="D50" s="244"/>
      <c r="E50" s="244"/>
      <c r="F50" s="244"/>
      <c r="G50" s="244"/>
      <c r="H50" s="244"/>
      <c r="I50" s="244"/>
      <c r="J50" s="244"/>
      <c r="K50" s="244"/>
      <c r="L50" s="244"/>
      <c r="M50" s="244"/>
      <c r="N50" s="244"/>
      <c r="O50" s="244"/>
      <c r="P50" s="244"/>
      <c r="Q50" s="244"/>
      <c r="S50" s="50">
        <v>0.46161877864147083</v>
      </c>
      <c r="T50" s="50">
        <v>0.30911954697226579</v>
      </c>
      <c r="U50" s="50">
        <v>0.4726272431294487</v>
      </c>
      <c r="V50" s="50">
        <v>0.40311133986950648</v>
      </c>
      <c r="W50" s="50">
        <v>0.7194553092126823</v>
      </c>
      <c r="X50" s="50">
        <v>5.1800589690903467E-2</v>
      </c>
      <c r="Y50" s="50">
        <v>0.63799234234369151</v>
      </c>
      <c r="AG50" s="54">
        <f t="shared" si="0"/>
        <v>0.92000000000000048</v>
      </c>
      <c r="AH50" s="50">
        <v>0</v>
      </c>
      <c r="AI50" s="50">
        <v>0</v>
      </c>
      <c r="AJ50" s="50">
        <v>0</v>
      </c>
      <c r="AK50" s="54">
        <f t="shared" si="1"/>
        <v>4.5999999999999996</v>
      </c>
    </row>
    <row r="51" spans="2:37" x14ac:dyDescent="0.25">
      <c r="B51" s="244"/>
      <c r="C51" s="244"/>
      <c r="D51" s="244"/>
      <c r="E51" s="244"/>
      <c r="F51" s="244"/>
      <c r="G51" s="244"/>
      <c r="H51" s="244"/>
      <c r="I51" s="244"/>
      <c r="J51" s="244"/>
      <c r="K51" s="244"/>
      <c r="L51" s="244"/>
      <c r="M51" s="244"/>
      <c r="N51" s="244"/>
      <c r="O51" s="244"/>
      <c r="P51" s="244"/>
      <c r="Q51" s="244"/>
      <c r="S51" s="50">
        <v>0.46059237302240019</v>
      </c>
      <c r="T51" s="50">
        <v>0.30842093287087136</v>
      </c>
      <c r="U51" s="50">
        <v>0.38989505265111823</v>
      </c>
      <c r="V51" s="50">
        <v>0.30381841133005344</v>
      </c>
      <c r="W51" s="50">
        <v>0.74354020971707047</v>
      </c>
      <c r="X51" s="50">
        <v>5.6950246224795921E-2</v>
      </c>
      <c r="Y51" s="50">
        <v>0.65078110261505273</v>
      </c>
      <c r="AG51" s="54">
        <f t="shared" si="0"/>
        <v>0.9400000000000005</v>
      </c>
      <c r="AH51" s="50">
        <v>0</v>
      </c>
      <c r="AI51" s="50">
        <v>0</v>
      </c>
      <c r="AJ51" s="50">
        <v>0</v>
      </c>
      <c r="AK51" s="54">
        <f t="shared" si="1"/>
        <v>4.6999999999999993</v>
      </c>
    </row>
    <row r="52" spans="2:37" x14ac:dyDescent="0.25">
      <c r="S52" s="50">
        <v>0.44790029625170835</v>
      </c>
      <c r="T52" s="50">
        <v>0.29776152272876605</v>
      </c>
      <c r="U52" s="50">
        <v>0.53678025069655932</v>
      </c>
      <c r="V52" s="50">
        <v>0.25571307792290393</v>
      </c>
      <c r="W52" s="50">
        <v>0.75291017781006742</v>
      </c>
      <c r="X52" s="50">
        <v>8.3903204241672136E-2</v>
      </c>
      <c r="Y52" s="50">
        <v>0.67541230772594396</v>
      </c>
      <c r="AG52" s="54">
        <f t="shared" si="0"/>
        <v>0.96000000000000052</v>
      </c>
      <c r="AH52" s="50">
        <v>0</v>
      </c>
      <c r="AI52" s="50">
        <v>0</v>
      </c>
      <c r="AJ52" s="50">
        <v>0</v>
      </c>
      <c r="AK52" s="54">
        <f t="shared" si="1"/>
        <v>4.7999999999999989</v>
      </c>
    </row>
    <row r="53" spans="2:37" x14ac:dyDescent="0.25">
      <c r="S53" s="50">
        <v>0.51482901984358986</v>
      </c>
      <c r="T53" s="50">
        <v>0.35720727716199513</v>
      </c>
      <c r="U53" s="50">
        <v>0.5043679852320998</v>
      </c>
      <c r="V53" s="50">
        <v>0.34597055023959777</v>
      </c>
      <c r="W53" s="50">
        <v>0.84322140491078879</v>
      </c>
      <c r="X53" s="50">
        <v>6.1996963576491551E-2</v>
      </c>
      <c r="Y53" s="50">
        <v>0.59540453480250299</v>
      </c>
      <c r="AG53" s="54">
        <f t="shared" si="0"/>
        <v>0.98000000000000054</v>
      </c>
      <c r="AH53" s="50">
        <v>0</v>
      </c>
      <c r="AI53" s="50">
        <v>0</v>
      </c>
      <c r="AJ53" s="50">
        <v>0</v>
      </c>
      <c r="AK53" s="54">
        <f t="shared" si="1"/>
        <v>4.8999999999999986</v>
      </c>
    </row>
    <row r="54" spans="2:37" x14ac:dyDescent="0.25">
      <c r="S54" s="50">
        <v>0.49426875388903713</v>
      </c>
      <c r="T54" s="50">
        <v>0.33802239522734301</v>
      </c>
      <c r="U54" s="50">
        <v>0.53675144139800479</v>
      </c>
      <c r="V54" s="50">
        <v>0.37957043629408227</v>
      </c>
      <c r="W54" s="50">
        <v>0.80200216694877446</v>
      </c>
      <c r="X54" s="50">
        <v>6.874814118956063E-2</v>
      </c>
      <c r="Y54" s="50">
        <v>0.60708965849845042</v>
      </c>
      <c r="AG54" s="54">
        <f t="shared" si="0"/>
        <v>1.0000000000000004</v>
      </c>
      <c r="AH54" s="50">
        <f t="array" ref="AH54">FREQUENCY(W73:W10050,AG54:AG103)</f>
        <v>50</v>
      </c>
      <c r="AI54" s="50">
        <f t="array" ref="AI54">FREQUENCY(X73:X10050,AG54:AG103)</f>
        <v>50</v>
      </c>
      <c r="AJ54" s="50">
        <v>0</v>
      </c>
      <c r="AK54" s="54">
        <f t="shared" si="1"/>
        <v>4.9999999999999982</v>
      </c>
    </row>
    <row r="55" spans="2:37" x14ac:dyDescent="0.25">
      <c r="S55" s="50">
        <v>0.42631501127049998</v>
      </c>
      <c r="T55" s="50">
        <v>0.2804698386331459</v>
      </c>
      <c r="U55" s="50">
        <v>0.49467487185907316</v>
      </c>
      <c r="V55" s="50">
        <v>0.2604349790972792</v>
      </c>
      <c r="W55" s="50">
        <v>0.79084955601967866</v>
      </c>
      <c r="X55" s="50">
        <v>7.8056795837075699E-2</v>
      </c>
      <c r="Y55" s="50">
        <v>0.74709213214040449</v>
      </c>
      <c r="AJ55" s="50">
        <v>0</v>
      </c>
      <c r="AK55" s="54">
        <f t="shared" si="1"/>
        <v>5.0999999999999979</v>
      </c>
    </row>
    <row r="56" spans="2:37" x14ac:dyDescent="0.25">
      <c r="S56" s="50">
        <v>0.45914767123288691</v>
      </c>
      <c r="T56" s="50">
        <v>0.30715997746739504</v>
      </c>
      <c r="U56" s="50">
        <v>0.55804476793912061</v>
      </c>
      <c r="V56" s="50">
        <v>0.35907378341401242</v>
      </c>
      <c r="W56" s="50">
        <v>0.7281615953243552</v>
      </c>
      <c r="X56" s="50">
        <v>4.4990168056937827E-2</v>
      </c>
      <c r="Y56" s="50">
        <v>0.65095949767500805</v>
      </c>
      <c r="AJ56" s="50">
        <v>0</v>
      </c>
      <c r="AK56" s="54">
        <f t="shared" si="1"/>
        <v>5.1999999999999975</v>
      </c>
    </row>
    <row r="57" spans="2:37" x14ac:dyDescent="0.25">
      <c r="S57" s="50">
        <v>0.51057278736005074</v>
      </c>
      <c r="T57" s="50">
        <v>0.35236569074333096</v>
      </c>
      <c r="U57" s="50">
        <v>0.38736347447807612</v>
      </c>
      <c r="V57" s="50">
        <v>0.33489974760168462</v>
      </c>
      <c r="W57" s="50">
        <v>0.78583437433066305</v>
      </c>
      <c r="X57" s="50">
        <v>5.4592221499561562E-2</v>
      </c>
      <c r="Y57" s="50">
        <v>0.57445323258420611</v>
      </c>
      <c r="AJ57" s="50">
        <v>0</v>
      </c>
      <c r="AK57" s="54">
        <f t="shared" si="1"/>
        <v>5.2999999999999972</v>
      </c>
    </row>
    <row r="58" spans="2:37" x14ac:dyDescent="0.25">
      <c r="S58" s="50">
        <v>0.44809861909916016</v>
      </c>
      <c r="T58" s="50">
        <v>0.29819798904462202</v>
      </c>
      <c r="U58" s="50">
        <v>0.33364800013304374</v>
      </c>
      <c r="V58" s="50">
        <v>0.32773666189228012</v>
      </c>
      <c r="W58" s="50">
        <v>0.77155092661186053</v>
      </c>
      <c r="X58" s="50">
        <v>6.7464808112527724E-2</v>
      </c>
      <c r="Y58" s="50">
        <v>0.68912104386064388</v>
      </c>
      <c r="AJ58" s="50">
        <v>0</v>
      </c>
      <c r="AK58" s="54">
        <f t="shared" si="1"/>
        <v>5.3999999999999968</v>
      </c>
    </row>
    <row r="59" spans="2:37" x14ac:dyDescent="0.25">
      <c r="S59" s="50">
        <v>0.51373732409973594</v>
      </c>
      <c r="T59" s="50">
        <v>0.35552231087884933</v>
      </c>
      <c r="U59" s="50">
        <v>0.42044174579338622</v>
      </c>
      <c r="V59" s="50">
        <v>0.34036435294739803</v>
      </c>
      <c r="W59" s="50">
        <v>0.81952633408689457</v>
      </c>
      <c r="X59" s="50">
        <v>7.8472424275049038E-2</v>
      </c>
      <c r="Y59" s="50">
        <v>0.578831633052872</v>
      </c>
      <c r="AJ59" s="50">
        <v>0</v>
      </c>
      <c r="AK59" s="54">
        <f t="shared" si="1"/>
        <v>5.4999999999999964</v>
      </c>
    </row>
    <row r="60" spans="2:37" x14ac:dyDescent="0.25">
      <c r="S60" s="50">
        <v>0.52495356248382286</v>
      </c>
      <c r="T60" s="50">
        <v>0.36669448772368679</v>
      </c>
      <c r="U60" s="50">
        <v>0.579252869518464</v>
      </c>
      <c r="V60" s="50">
        <v>0.26984278874604484</v>
      </c>
      <c r="W60" s="50">
        <v>0.85399049537428529</v>
      </c>
      <c r="X60" s="50">
        <v>6.5169604409238635E-2</v>
      </c>
      <c r="Y60" s="50">
        <v>0.58405734463128867</v>
      </c>
      <c r="AJ60" s="50">
        <v>0</v>
      </c>
      <c r="AK60" s="54">
        <f t="shared" si="1"/>
        <v>5.5999999999999961</v>
      </c>
    </row>
    <row r="61" spans="2:37" x14ac:dyDescent="0.25">
      <c r="S61" s="50">
        <v>0.47898663727939733</v>
      </c>
      <c r="T61" s="50">
        <v>0.32446916598110098</v>
      </c>
      <c r="U61" s="50" t="s">
        <v>176</v>
      </c>
      <c r="V61" s="50" t="s">
        <v>176</v>
      </c>
      <c r="W61" s="50">
        <v>0.76607926875774446</v>
      </c>
      <c r="X61" s="50">
        <v>3.5971588382070874E-2</v>
      </c>
      <c r="Y61" s="50">
        <v>0.6301871962153085</v>
      </c>
      <c r="AJ61" s="50">
        <v>0</v>
      </c>
      <c r="AK61" s="54">
        <f t="shared" si="1"/>
        <v>5.6999999999999957</v>
      </c>
    </row>
    <row r="62" spans="2:37" x14ac:dyDescent="0.25">
      <c r="S62" s="50">
        <v>0.41351391392281955</v>
      </c>
      <c r="T62" s="50">
        <v>0.26986208674161344</v>
      </c>
      <c r="U62" s="50">
        <v>0.38753707611582694</v>
      </c>
      <c r="V62" s="50">
        <v>0.18023522895325894</v>
      </c>
      <c r="W62" s="50">
        <v>0.77790688349063131</v>
      </c>
      <c r="X62" s="50">
        <v>6.1779006642469034E-2</v>
      </c>
      <c r="Y62" s="50">
        <v>0.78146952726318275</v>
      </c>
      <c r="AJ62" s="50">
        <v>0</v>
      </c>
      <c r="AK62" s="54">
        <f t="shared" si="1"/>
        <v>5.7999999999999954</v>
      </c>
    </row>
    <row r="63" spans="2:37" x14ac:dyDescent="0.25">
      <c r="S63" s="50">
        <v>0.50312065479822232</v>
      </c>
      <c r="T63" s="50">
        <v>0.34569907851503251</v>
      </c>
      <c r="U63" s="50" t="s">
        <v>176</v>
      </c>
      <c r="V63" s="50" t="s">
        <v>176</v>
      </c>
      <c r="W63" s="50">
        <v>0.79876405150644858</v>
      </c>
      <c r="X63" s="50">
        <v>7.2731037802504048E-2</v>
      </c>
      <c r="Y63" s="50">
        <v>0.58784463009444266</v>
      </c>
      <c r="AJ63" s="50">
        <v>0</v>
      </c>
      <c r="AK63" s="54">
        <f t="shared" si="1"/>
        <v>5.899999999999995</v>
      </c>
    </row>
    <row r="64" spans="2:37" x14ac:dyDescent="0.25">
      <c r="S64" s="50">
        <v>0.48218466592608461</v>
      </c>
      <c r="T64" s="50">
        <v>0.32815847156465122</v>
      </c>
      <c r="U64" s="50">
        <v>0.65111967783941527</v>
      </c>
      <c r="V64" s="50">
        <v>0.37984169802731549</v>
      </c>
      <c r="W64" s="50">
        <v>0.85216873383348568</v>
      </c>
      <c r="X64" s="50">
        <v>4.1451483179023488E-2</v>
      </c>
      <c r="Y64" s="50">
        <v>0.66134690667671603</v>
      </c>
      <c r="AJ64" s="50">
        <v>0</v>
      </c>
      <c r="AK64" s="54">
        <f t="shared" si="1"/>
        <v>5.9999999999999947</v>
      </c>
    </row>
    <row r="65" spans="19:37" x14ac:dyDescent="0.25">
      <c r="S65" s="50">
        <v>0.44931355679570273</v>
      </c>
      <c r="T65" s="50">
        <v>0.29943785879707779</v>
      </c>
      <c r="U65" s="50">
        <v>0.6005132901413065</v>
      </c>
      <c r="V65" s="50">
        <v>0.38145657642918962</v>
      </c>
      <c r="W65" s="50">
        <v>0.79116842311629887</v>
      </c>
      <c r="X65" s="50">
        <v>7.8929906929035759E-2</v>
      </c>
      <c r="Y65" s="50">
        <v>0.69087894674088057</v>
      </c>
      <c r="AJ65" s="50">
        <v>0</v>
      </c>
      <c r="AK65" s="54">
        <f t="shared" si="1"/>
        <v>6.0999999999999943</v>
      </c>
    </row>
    <row r="66" spans="19:37" x14ac:dyDescent="0.25">
      <c r="S66" s="50">
        <v>0.51415544803997537</v>
      </c>
      <c r="T66" s="50">
        <v>0.35634212748478689</v>
      </c>
      <c r="U66" s="50" t="s">
        <v>176</v>
      </c>
      <c r="V66" s="50" t="s">
        <v>176</v>
      </c>
      <c r="W66" s="50">
        <v>0.83014949711326014</v>
      </c>
      <c r="X66" s="50">
        <v>5.078633479277167E-2</v>
      </c>
      <c r="Y66" s="50">
        <v>0.59369993864653403</v>
      </c>
      <c r="AJ66" s="50">
        <v>0</v>
      </c>
      <c r="AK66" s="54">
        <f t="shared" si="1"/>
        <v>6.199999999999994</v>
      </c>
    </row>
    <row r="67" spans="19:37" x14ac:dyDescent="0.25">
      <c r="S67" s="50">
        <v>0.47805253931988756</v>
      </c>
      <c r="T67" s="50">
        <v>0.32369902156845504</v>
      </c>
      <c r="U67" s="50">
        <v>0.38017654313176702</v>
      </c>
      <c r="V67" s="50">
        <v>0.43429590651697431</v>
      </c>
      <c r="W67" s="50">
        <v>0.78292607116925594</v>
      </c>
      <c r="X67" s="50">
        <v>6.1482221749130636E-2</v>
      </c>
      <c r="Y67" s="50">
        <v>0.63122299261338688</v>
      </c>
      <c r="AJ67" s="50">
        <v>0</v>
      </c>
      <c r="AK67" s="54">
        <f t="shared" si="1"/>
        <v>6.2999999999999936</v>
      </c>
    </row>
    <row r="68" spans="19:37" x14ac:dyDescent="0.25">
      <c r="S68" s="50">
        <v>0.50900367926766621</v>
      </c>
      <c r="T68" s="50">
        <v>0.35235739289321144</v>
      </c>
      <c r="U68" s="50">
        <v>0.56251643325664236</v>
      </c>
      <c r="V68" s="50">
        <v>0.4180149535093079</v>
      </c>
      <c r="W68" s="50">
        <v>0.85812033402717869</v>
      </c>
      <c r="X68" s="50">
        <v>6.7397262305053579E-2</v>
      </c>
      <c r="Y68" s="50">
        <v>0.61027389149004152</v>
      </c>
      <c r="AJ68" s="50">
        <v>0</v>
      </c>
      <c r="AK68" s="54">
        <f t="shared" si="1"/>
        <v>6.3999999999999932</v>
      </c>
    </row>
    <row r="69" spans="19:37" x14ac:dyDescent="0.25">
      <c r="S69" s="50">
        <v>0.47603389327091583</v>
      </c>
      <c r="T69" s="50">
        <v>0.32255498898889245</v>
      </c>
      <c r="U69" s="50">
        <v>0.507799215687876</v>
      </c>
      <c r="V69" s="50">
        <v>0.30408029396625047</v>
      </c>
      <c r="W69" s="50">
        <v>0.82520509046410151</v>
      </c>
      <c r="X69" s="50">
        <v>5.7257259919443235E-2</v>
      </c>
      <c r="Y69" s="50">
        <v>0.65643044914470505</v>
      </c>
      <c r="AJ69" s="50">
        <v>0</v>
      </c>
      <c r="AK69" s="54">
        <f t="shared" si="1"/>
        <v>6.4999999999999929</v>
      </c>
    </row>
    <row r="70" spans="19:37" x14ac:dyDescent="0.25">
      <c r="S70" s="50">
        <v>0.45136110863110585</v>
      </c>
      <c r="T70" s="50">
        <v>0.30112321144064452</v>
      </c>
      <c r="U70" s="50">
        <v>0.47964052481049874</v>
      </c>
      <c r="V70" s="50">
        <v>0.27523047514373239</v>
      </c>
      <c r="W70" s="50">
        <v>0.80227006634535147</v>
      </c>
      <c r="X70" s="50">
        <v>4.1996918067850081E-2</v>
      </c>
      <c r="Y70" s="50">
        <v>0.70231552520550711</v>
      </c>
      <c r="AJ70" s="50">
        <v>0</v>
      </c>
      <c r="AK70" s="54">
        <f t="shared" ref="AK70:AK104" si="2">AK69+0.1</f>
        <v>6.5999999999999925</v>
      </c>
    </row>
    <row r="71" spans="19:37" x14ac:dyDescent="0.25">
      <c r="S71" s="50">
        <v>0.5017307998535232</v>
      </c>
      <c r="T71" s="50">
        <v>0.34465492358349281</v>
      </c>
      <c r="U71" s="50">
        <v>0.3786664199948972</v>
      </c>
      <c r="V71" s="50">
        <v>0.32815665204634298</v>
      </c>
      <c r="W71" s="50">
        <v>0.79299787336955352</v>
      </c>
      <c r="X71" s="50">
        <v>4.7306865392048134E-2</v>
      </c>
      <c r="Y71" s="50">
        <v>0.59672110815533874</v>
      </c>
      <c r="AJ71" s="50">
        <v>0</v>
      </c>
      <c r="AK71" s="54">
        <f t="shared" si="2"/>
        <v>6.6999999999999922</v>
      </c>
    </row>
    <row r="72" spans="19:37" x14ac:dyDescent="0.25">
      <c r="S72" s="50">
        <v>0.4481618495809096</v>
      </c>
      <c r="T72" s="50">
        <v>0.29817130232005024</v>
      </c>
      <c r="U72" s="50" t="s">
        <v>176</v>
      </c>
      <c r="V72" s="50" t="s">
        <v>176</v>
      </c>
      <c r="W72" s="50">
        <v>0.76255784040639429</v>
      </c>
      <c r="X72" s="50">
        <v>5.5076941192547919E-2</v>
      </c>
      <c r="Y72" s="50">
        <v>0.68924146934489039</v>
      </c>
      <c r="AJ72" s="50">
        <v>0</v>
      </c>
      <c r="AK72" s="54">
        <f t="shared" si="2"/>
        <v>6.7999999999999918</v>
      </c>
    </row>
    <row r="73" spans="19:37" x14ac:dyDescent="0.25">
      <c r="S73" s="50">
        <v>0.4854396310066198</v>
      </c>
      <c r="T73" s="50">
        <v>0.33014242924451964</v>
      </c>
      <c r="U73" s="50">
        <v>0.54260519044603206</v>
      </c>
      <c r="V73" s="50">
        <v>0.41630938811375234</v>
      </c>
      <c r="W73" s="50">
        <v>0.78602366794742162</v>
      </c>
      <c r="X73" s="50">
        <v>5.9597126957529258E-2</v>
      </c>
      <c r="Y73" s="50">
        <v>0.61886860919799802</v>
      </c>
      <c r="AJ73" s="50">
        <v>0</v>
      </c>
      <c r="AK73" s="54">
        <f t="shared" si="2"/>
        <v>6.8999999999999915</v>
      </c>
    </row>
    <row r="74" spans="19:37" x14ac:dyDescent="0.25">
      <c r="S74" s="50">
        <v>0.45311128109264681</v>
      </c>
      <c r="T74" s="50">
        <v>0.30294289255658197</v>
      </c>
      <c r="U74" s="50">
        <v>0.47195340551223447</v>
      </c>
      <c r="V74" s="50">
        <v>0.3384579914335169</v>
      </c>
      <c r="W74" s="50">
        <v>0.83717795589721966</v>
      </c>
      <c r="X74" s="50">
        <v>4.3653811007352855E-2</v>
      </c>
      <c r="Y74" s="50">
        <v>0.71111617406602079</v>
      </c>
      <c r="AJ74" s="50">
        <v>0</v>
      </c>
      <c r="AK74" s="54">
        <f t="shared" si="2"/>
        <v>6.9999999999999911</v>
      </c>
    </row>
    <row r="75" spans="19:37" x14ac:dyDescent="0.25">
      <c r="S75" s="50">
        <v>0.47916378665189258</v>
      </c>
      <c r="T75" s="50">
        <v>0.32443841550705871</v>
      </c>
      <c r="U75" s="50">
        <v>0.31326578620330159</v>
      </c>
      <c r="V75" s="50">
        <v>0.23295393799872557</v>
      </c>
      <c r="W75" s="50">
        <v>0.75796140775808951</v>
      </c>
      <c r="X75" s="50">
        <v>5.1967914771947482E-2</v>
      </c>
      <c r="Y75" s="50">
        <v>0.61968728022138453</v>
      </c>
      <c r="AJ75" s="50">
        <v>0</v>
      </c>
      <c r="AK75" s="54">
        <f t="shared" si="2"/>
        <v>7.0999999999999908</v>
      </c>
    </row>
    <row r="76" spans="19:37" x14ac:dyDescent="0.25">
      <c r="S76" s="50">
        <v>0.43937931714248107</v>
      </c>
      <c r="T76" s="50">
        <v>0.2908581011521631</v>
      </c>
      <c r="U76" s="50">
        <v>0.30958065933961526</v>
      </c>
      <c r="V76" s="50">
        <v>0.30318292333099023</v>
      </c>
      <c r="W76" s="50">
        <v>0.76799907876206563</v>
      </c>
      <c r="X76" s="50">
        <v>4.0788155292027707E-2</v>
      </c>
      <c r="Y76" s="50">
        <v>0.71704993367833292</v>
      </c>
      <c r="AJ76" s="50">
        <v>0</v>
      </c>
      <c r="AK76" s="54">
        <f t="shared" si="2"/>
        <v>7.1999999999999904</v>
      </c>
    </row>
    <row r="77" spans="19:37" x14ac:dyDescent="0.25">
      <c r="S77" s="50">
        <v>0.52714562848078894</v>
      </c>
      <c r="T77" s="50">
        <v>0.36593126011373556</v>
      </c>
      <c r="U77" s="50">
        <v>0.51855949927150158</v>
      </c>
      <c r="V77" s="50">
        <v>0.37716172978045687</v>
      </c>
      <c r="W77" s="50">
        <v>0.76071016852306972</v>
      </c>
      <c r="X77" s="50">
        <v>8.4187586186673921E-2</v>
      </c>
      <c r="Y77" s="50">
        <v>0.51782801787105337</v>
      </c>
      <c r="AJ77" s="50">
        <v>0</v>
      </c>
      <c r="AK77" s="54">
        <f t="shared" si="2"/>
        <v>7.2999999999999901</v>
      </c>
    </row>
    <row r="78" spans="19:37" x14ac:dyDescent="0.25">
      <c r="S78" s="50">
        <v>0.48838931157393767</v>
      </c>
      <c r="T78" s="50">
        <v>0.33385409379996511</v>
      </c>
      <c r="U78" s="50">
        <v>0.5722632445841157</v>
      </c>
      <c r="V78" s="50">
        <v>0.22302685273686917</v>
      </c>
      <c r="W78" s="50">
        <v>0.86199803827784405</v>
      </c>
      <c r="X78" s="50">
        <v>4.6053835494870812E-2</v>
      </c>
      <c r="Y78" s="50">
        <v>0.65312255660908825</v>
      </c>
      <c r="AJ78" s="50">
        <v>0</v>
      </c>
      <c r="AK78" s="54">
        <f t="shared" si="2"/>
        <v>7.3999999999999897</v>
      </c>
    </row>
    <row r="79" spans="19:37" x14ac:dyDescent="0.25">
      <c r="S79" s="50">
        <v>0.45083082101092198</v>
      </c>
      <c r="T79" s="50">
        <v>0.30034707077178097</v>
      </c>
      <c r="U79" s="50">
        <v>0.44549198874976126</v>
      </c>
      <c r="V79" s="50">
        <v>0.2720722561438268</v>
      </c>
      <c r="W79" s="50">
        <v>0.76195207771484097</v>
      </c>
      <c r="X79" s="50">
        <v>7.4435446502311944E-2</v>
      </c>
      <c r="Y79" s="50">
        <v>0.6759726582670833</v>
      </c>
      <c r="AJ79" s="50">
        <v>0</v>
      </c>
      <c r="AK79" s="54">
        <f t="shared" si="2"/>
        <v>7.4999999999999893</v>
      </c>
    </row>
    <row r="80" spans="19:37" x14ac:dyDescent="0.25">
      <c r="S80" s="50">
        <v>0.51934606672483929</v>
      </c>
      <c r="T80" s="50">
        <v>0.36079807186126794</v>
      </c>
      <c r="U80" s="50">
        <v>0.54975983030564768</v>
      </c>
      <c r="V80" s="50">
        <v>0.43543803905891199</v>
      </c>
      <c r="W80" s="50">
        <v>0.81308179805170799</v>
      </c>
      <c r="X80" s="50">
        <v>4.5947691760245407E-2</v>
      </c>
      <c r="Y80" s="50">
        <v>0.57805240709417416</v>
      </c>
      <c r="AJ80" s="50">
        <v>0</v>
      </c>
      <c r="AK80" s="54">
        <f t="shared" si="2"/>
        <v>7.599999999999989</v>
      </c>
    </row>
    <row r="81" spans="19:37" x14ac:dyDescent="0.25">
      <c r="S81" s="50">
        <v>0.52674584024234683</v>
      </c>
      <c r="T81" s="50">
        <v>0.36711916871974065</v>
      </c>
      <c r="U81" s="50" t="s">
        <v>176</v>
      </c>
      <c r="V81" s="50" t="s">
        <v>176</v>
      </c>
      <c r="W81" s="50">
        <v>0.79224881483801401</v>
      </c>
      <c r="X81" s="50">
        <v>5.3669184231351683E-2</v>
      </c>
      <c r="Y81" s="50">
        <v>0.55139956953015923</v>
      </c>
      <c r="AJ81" s="50">
        <v>0</v>
      </c>
      <c r="AK81" s="54">
        <f t="shared" si="2"/>
        <v>7.6999999999999886</v>
      </c>
    </row>
    <row r="82" spans="19:37" x14ac:dyDescent="0.25">
      <c r="S82" s="50">
        <v>0.48568673168459658</v>
      </c>
      <c r="T82" s="50">
        <v>0.33073882542182587</v>
      </c>
      <c r="U82" s="50">
        <v>0.43996077170717701</v>
      </c>
      <c r="V82" s="50">
        <v>0.30475386766597806</v>
      </c>
      <c r="W82" s="50">
        <v>0.81465388979088083</v>
      </c>
      <c r="X82" s="50">
        <v>7.5073278801548141E-2</v>
      </c>
      <c r="Y82" s="50">
        <v>0.62718829811145671</v>
      </c>
      <c r="AJ82" s="50">
        <v>0</v>
      </c>
      <c r="AK82" s="54">
        <f t="shared" si="2"/>
        <v>7.7999999999999883</v>
      </c>
    </row>
    <row r="83" spans="19:37" x14ac:dyDescent="0.25">
      <c r="S83" s="50">
        <v>0.45779506964544298</v>
      </c>
      <c r="T83" s="50">
        <v>0.30691119217489987</v>
      </c>
      <c r="U83" s="50">
        <v>0.47119126373100817</v>
      </c>
      <c r="V83" s="50">
        <v>0.34658596679858333</v>
      </c>
      <c r="W83" s="50">
        <v>0.85259955189260295</v>
      </c>
      <c r="X83" s="50">
        <v>3.3338336215109066E-2</v>
      </c>
      <c r="Y83" s="50">
        <v>0.70986259979030686</v>
      </c>
      <c r="AJ83" s="50">
        <v>0</v>
      </c>
      <c r="AK83" s="54">
        <f t="shared" si="2"/>
        <v>7.8999999999999879</v>
      </c>
    </row>
    <row r="84" spans="19:37" x14ac:dyDescent="0.25">
      <c r="S84" s="50">
        <v>0.49246146628044069</v>
      </c>
      <c r="T84" s="50">
        <v>0.33610164229960754</v>
      </c>
      <c r="U84" s="50">
        <v>0.52657992249720587</v>
      </c>
      <c r="V84" s="50">
        <v>0.35066058789108218</v>
      </c>
      <c r="W84" s="50">
        <v>0.78433988435436441</v>
      </c>
      <c r="X84" s="50">
        <v>7.132840503535065E-2</v>
      </c>
      <c r="Y84" s="50">
        <v>0.6000830698077031</v>
      </c>
      <c r="AJ84" s="50">
        <v>0</v>
      </c>
      <c r="AK84" s="54">
        <f t="shared" si="2"/>
        <v>7.9999999999999876</v>
      </c>
    </row>
    <row r="85" spans="19:37" x14ac:dyDescent="0.25">
      <c r="S85" s="50">
        <v>0.44278860854583246</v>
      </c>
      <c r="T85" s="50">
        <v>0.29398322106600872</v>
      </c>
      <c r="U85" s="50">
        <v>0.42633770598080106</v>
      </c>
      <c r="V85" s="50">
        <v>0.24846527839887023</v>
      </c>
      <c r="W85" s="50">
        <v>0.78791455552093204</v>
      </c>
      <c r="X85" s="50">
        <v>8.2276528041916014E-2</v>
      </c>
      <c r="Y85" s="50">
        <v>0.70375579435679225</v>
      </c>
      <c r="AJ85" s="50">
        <v>0</v>
      </c>
      <c r="AK85" s="54">
        <f t="shared" si="2"/>
        <v>8.0999999999999872</v>
      </c>
    </row>
    <row r="86" spans="19:37" x14ac:dyDescent="0.25">
      <c r="S86" s="50">
        <v>0.48533564902096149</v>
      </c>
      <c r="T86" s="50">
        <v>0.3311819106490031</v>
      </c>
      <c r="U86" s="50">
        <v>0.56432280854582473</v>
      </c>
      <c r="V86" s="50">
        <v>0.3746931205036369</v>
      </c>
      <c r="W86" s="50">
        <v>0.8521224294994878</v>
      </c>
      <c r="X86" s="50">
        <v>6.2730101559737267E-2</v>
      </c>
      <c r="Y86" s="50">
        <v>0.64920531869912801</v>
      </c>
      <c r="AJ86" s="50">
        <v>0</v>
      </c>
      <c r="AK86" s="54">
        <f t="shared" si="2"/>
        <v>8.1999999999999869</v>
      </c>
    </row>
    <row r="87" spans="19:37" x14ac:dyDescent="0.25">
      <c r="S87" s="50">
        <v>0.4512036250969278</v>
      </c>
      <c r="T87" s="50">
        <v>0.3009471934228129</v>
      </c>
      <c r="U87" s="50">
        <v>0.35926235865975736</v>
      </c>
      <c r="V87" s="50">
        <v>0.21922651084590289</v>
      </c>
      <c r="W87" s="50">
        <v>0.78768933500193283</v>
      </c>
      <c r="X87" s="50">
        <v>5.7876348944149614E-2</v>
      </c>
      <c r="Y87" s="50">
        <v>0.69192643639012563</v>
      </c>
      <c r="AJ87" s="50">
        <v>0</v>
      </c>
      <c r="AK87" s="54">
        <f t="shared" si="2"/>
        <v>8.2999999999999865</v>
      </c>
    </row>
    <row r="88" spans="19:37" x14ac:dyDescent="0.25">
      <c r="S88" s="50">
        <v>0.48873937738541989</v>
      </c>
      <c r="T88" s="50">
        <v>0.33322260620445249</v>
      </c>
      <c r="U88" s="50">
        <v>0.40125784288169647</v>
      </c>
      <c r="V88" s="50">
        <v>0.26832594933067638</v>
      </c>
      <c r="W88" s="50">
        <v>0.80797304008268733</v>
      </c>
      <c r="X88" s="50">
        <v>7.9655773084293169E-2</v>
      </c>
      <c r="Y88" s="50">
        <v>0.61646533304919882</v>
      </c>
      <c r="AJ88" s="50">
        <v>0</v>
      </c>
      <c r="AK88" s="54">
        <f t="shared" si="2"/>
        <v>8.3999999999999861</v>
      </c>
    </row>
    <row r="89" spans="19:37" x14ac:dyDescent="0.25">
      <c r="S89" s="50">
        <v>0.46590416361486725</v>
      </c>
      <c r="T89" s="50">
        <v>0.31292011901279976</v>
      </c>
      <c r="U89" s="50">
        <v>0.38111816256690317</v>
      </c>
      <c r="V89" s="50">
        <v>0.21516926833895048</v>
      </c>
      <c r="W89" s="50">
        <v>0.74770853866962173</v>
      </c>
      <c r="X89" s="50">
        <v>6.0464841530675592E-2</v>
      </c>
      <c r="Y89" s="50">
        <v>0.63953425899967165</v>
      </c>
      <c r="AJ89" s="50">
        <v>0</v>
      </c>
      <c r="AK89" s="54">
        <f t="shared" si="2"/>
        <v>8.4999999999999858</v>
      </c>
    </row>
    <row r="90" spans="19:37" x14ac:dyDescent="0.25">
      <c r="S90" s="50">
        <v>0.52042065757770228</v>
      </c>
      <c r="T90" s="50">
        <v>0.36069505220392756</v>
      </c>
      <c r="U90" s="50" t="s">
        <v>176</v>
      </c>
      <c r="V90" s="50" t="s">
        <v>176</v>
      </c>
      <c r="W90" s="50">
        <v>0.7654321175046136</v>
      </c>
      <c r="X90" s="50">
        <v>6.3218316404453842E-2</v>
      </c>
      <c r="Y90" s="50">
        <v>0.54163786461095964</v>
      </c>
      <c r="AJ90" s="50">
        <v>0</v>
      </c>
      <c r="AK90" s="54">
        <f t="shared" si="2"/>
        <v>8.5999999999999854</v>
      </c>
    </row>
    <row r="91" spans="19:37" x14ac:dyDescent="0.25">
      <c r="S91" s="50">
        <v>0.44643807146255099</v>
      </c>
      <c r="T91" s="50">
        <v>0.29670383438472386</v>
      </c>
      <c r="U91" s="50" t="s">
        <v>176</v>
      </c>
      <c r="V91" s="50" t="s">
        <v>176</v>
      </c>
      <c r="W91" s="50">
        <v>0.76237876346068423</v>
      </c>
      <c r="X91" s="50">
        <v>7.5997992626651564E-2</v>
      </c>
      <c r="Y91" s="50">
        <v>0.68614671871297683</v>
      </c>
      <c r="AJ91" s="50">
        <v>0</v>
      </c>
      <c r="AK91" s="54">
        <f t="shared" si="2"/>
        <v>8.6999999999999851</v>
      </c>
    </row>
    <row r="92" spans="19:37" x14ac:dyDescent="0.25">
      <c r="S92" s="50">
        <v>0.46710498557455482</v>
      </c>
      <c r="T92" s="50">
        <v>0.31475502498971969</v>
      </c>
      <c r="U92" s="50">
        <v>0.55598946252762949</v>
      </c>
      <c r="V92" s="50">
        <v>0.54176309140525003</v>
      </c>
      <c r="W92" s="50">
        <v>0.81636469617540119</v>
      </c>
      <c r="X92" s="50">
        <v>5.8857728613081507E-2</v>
      </c>
      <c r="Y92" s="50">
        <v>0.66969739126979466</v>
      </c>
      <c r="AJ92" s="50">
        <v>0</v>
      </c>
      <c r="AK92" s="54">
        <f t="shared" si="2"/>
        <v>8.7999999999999847</v>
      </c>
    </row>
    <row r="93" spans="19:37" x14ac:dyDescent="0.25">
      <c r="S93" s="50">
        <v>0.45436298099893196</v>
      </c>
      <c r="T93" s="50">
        <v>0.30335789616479869</v>
      </c>
      <c r="U93" s="50">
        <v>0.35491545275984793</v>
      </c>
      <c r="V93" s="50">
        <v>0.33870201727869997</v>
      </c>
      <c r="W93" s="50">
        <v>0.76809723516169826</v>
      </c>
      <c r="X93" s="50">
        <v>7.5293459838937218E-2</v>
      </c>
      <c r="Y93" s="50">
        <v>0.67023505609639955</v>
      </c>
      <c r="AJ93" s="50">
        <v>0</v>
      </c>
      <c r="AK93" s="54">
        <f t="shared" si="2"/>
        <v>8.8999999999999844</v>
      </c>
    </row>
    <row r="94" spans="19:37" x14ac:dyDescent="0.25">
      <c r="S94" s="50">
        <v>0.4956168467792193</v>
      </c>
      <c r="T94" s="50">
        <v>0.3390819232346387</v>
      </c>
      <c r="U94" s="50" t="s">
        <v>176</v>
      </c>
      <c r="V94" s="50" t="s">
        <v>176</v>
      </c>
      <c r="W94" s="50">
        <v>0.7697001797067542</v>
      </c>
      <c r="X94" s="50">
        <v>3.5898607979081967E-2</v>
      </c>
      <c r="Y94" s="50">
        <v>0.59970988578624507</v>
      </c>
      <c r="AJ94" s="50">
        <v>0</v>
      </c>
      <c r="AK94" s="54">
        <f t="shared" si="2"/>
        <v>8.999999999999984</v>
      </c>
    </row>
    <row r="95" spans="19:37" x14ac:dyDescent="0.25">
      <c r="S95" s="50">
        <v>0.47810250933835385</v>
      </c>
      <c r="T95" s="50">
        <v>0.32503864967432922</v>
      </c>
      <c r="U95" s="50">
        <v>0.47946266243645186</v>
      </c>
      <c r="V95" s="50">
        <v>0.30763710649185289</v>
      </c>
      <c r="W95" s="50">
        <v>0.87934371265436773</v>
      </c>
      <c r="X95" s="50">
        <v>4.121675718045207E-2</v>
      </c>
      <c r="Y95" s="50">
        <v>0.67940180473287637</v>
      </c>
      <c r="AJ95" s="50">
        <v>0</v>
      </c>
      <c r="AK95" s="54">
        <f t="shared" si="2"/>
        <v>9.0999999999999837</v>
      </c>
    </row>
    <row r="96" spans="19:37" x14ac:dyDescent="0.25">
      <c r="S96" s="50">
        <v>0.53223144319871363</v>
      </c>
      <c r="T96" s="50">
        <v>0.37211927313634474</v>
      </c>
      <c r="U96" s="50">
        <v>0.64501006342450118</v>
      </c>
      <c r="V96" s="50">
        <v>0.65997264228851038</v>
      </c>
      <c r="W96" s="50">
        <v>0.78359057846602242</v>
      </c>
      <c r="X96" s="50">
        <v>4.8815888442378719E-2</v>
      </c>
      <c r="Y96" s="50">
        <v>0.53928722412011265</v>
      </c>
      <c r="AJ96" s="50">
        <v>0</v>
      </c>
      <c r="AK96" s="54">
        <f t="shared" si="2"/>
        <v>9.1999999999999833</v>
      </c>
    </row>
    <row r="97" spans="19:37" x14ac:dyDescent="0.25">
      <c r="S97" s="50">
        <v>0.48806850153858772</v>
      </c>
      <c r="T97" s="50">
        <v>0.33219971787901564</v>
      </c>
      <c r="U97" s="50">
        <v>0.40824581272117816</v>
      </c>
      <c r="V97" s="50">
        <v>0.31620373933640433</v>
      </c>
      <c r="W97" s="50">
        <v>0.76353144944660434</v>
      </c>
      <c r="X97" s="50">
        <v>5.3787925517430099E-2</v>
      </c>
      <c r="Y97" s="50">
        <v>0.60402162229912659</v>
      </c>
      <c r="AJ97" s="50">
        <v>0</v>
      </c>
      <c r="AK97" s="54">
        <f t="shared" si="2"/>
        <v>9.2999999999999829</v>
      </c>
    </row>
    <row r="98" spans="19:37" x14ac:dyDescent="0.25">
      <c r="S98" s="50">
        <v>0.42781585799478744</v>
      </c>
      <c r="T98" s="50">
        <v>0.28123962184220275</v>
      </c>
      <c r="U98" s="50" t="s">
        <v>176</v>
      </c>
      <c r="V98" s="50" t="s">
        <v>176</v>
      </c>
      <c r="W98" s="50">
        <v>0.75401216382606073</v>
      </c>
      <c r="X98" s="50">
        <v>4.0123422984693471E-2</v>
      </c>
      <c r="Y98" s="50">
        <v>0.74110216688972308</v>
      </c>
      <c r="AJ98" s="50">
        <v>0</v>
      </c>
      <c r="AK98" s="54">
        <f t="shared" si="2"/>
        <v>9.3999999999999826</v>
      </c>
    </row>
    <row r="99" spans="19:37" x14ac:dyDescent="0.25">
      <c r="S99" s="50">
        <v>0.48036058798113462</v>
      </c>
      <c r="T99" s="50">
        <v>0.32621023814760586</v>
      </c>
      <c r="U99" s="50">
        <v>0.57128013374683895</v>
      </c>
      <c r="V99" s="50">
        <v>0.3206292055751841</v>
      </c>
      <c r="W99" s="50">
        <v>0.82013994797877665</v>
      </c>
      <c r="X99" s="50">
        <v>8.4926854815798675E-2</v>
      </c>
      <c r="Y99" s="50">
        <v>0.63655375056430974</v>
      </c>
      <c r="AJ99" s="50">
        <v>0</v>
      </c>
      <c r="AK99" s="54">
        <f t="shared" si="2"/>
        <v>9.4999999999999822</v>
      </c>
    </row>
    <row r="100" spans="19:37" x14ac:dyDescent="0.25">
      <c r="S100" s="50">
        <v>0.41566914127852761</v>
      </c>
      <c r="T100" s="50">
        <v>0.27144784597734073</v>
      </c>
      <c r="U100" s="50">
        <v>0.38116394722162578</v>
      </c>
      <c r="V100" s="50">
        <v>0.17101585805876021</v>
      </c>
      <c r="W100" s="50">
        <v>0.74264825778275056</v>
      </c>
      <c r="X100" s="50">
        <v>7.8838462020607319E-2</v>
      </c>
      <c r="Y100" s="50">
        <v>0.75911124679840625</v>
      </c>
      <c r="AJ100" s="50">
        <v>0</v>
      </c>
      <c r="AK100" s="54">
        <f t="shared" si="2"/>
        <v>9.5999999999999819</v>
      </c>
    </row>
    <row r="101" spans="19:37" x14ac:dyDescent="0.25">
      <c r="S101" s="50">
        <v>0.47727343357216712</v>
      </c>
      <c r="T101" s="50">
        <v>0.32250098041782349</v>
      </c>
      <c r="U101" s="50">
        <v>0.51958179922225556</v>
      </c>
      <c r="V101" s="50">
        <v>0.2420277843474441</v>
      </c>
      <c r="W101" s="50">
        <v>0.75182009036366493</v>
      </c>
      <c r="X101" s="50">
        <v>7.1349472811241155E-2</v>
      </c>
      <c r="Y101" s="50">
        <v>0.61269987337954634</v>
      </c>
      <c r="AJ101" s="50">
        <v>0</v>
      </c>
      <c r="AK101" s="54">
        <f t="shared" si="2"/>
        <v>9.6999999999999815</v>
      </c>
    </row>
    <row r="102" spans="19:37" x14ac:dyDescent="0.25">
      <c r="S102" s="50">
        <v>0.46865949521286826</v>
      </c>
      <c r="T102" s="50">
        <v>0.31634339496733593</v>
      </c>
      <c r="U102" s="50">
        <v>0.54531630244580043</v>
      </c>
      <c r="V102" s="50">
        <v>0.32137649765713194</v>
      </c>
      <c r="W102" s="50">
        <v>0.84886755170862782</v>
      </c>
      <c r="X102" s="50">
        <v>4.1179550301183192E-2</v>
      </c>
      <c r="Y102" s="50">
        <v>0.68515389205554689</v>
      </c>
      <c r="AJ102" s="50">
        <v>0</v>
      </c>
      <c r="AK102" s="54">
        <f t="shared" si="2"/>
        <v>9.7999999999999812</v>
      </c>
    </row>
    <row r="103" spans="19:37" x14ac:dyDescent="0.25">
      <c r="S103" s="50">
        <v>0.48474780925608568</v>
      </c>
      <c r="T103" s="50">
        <v>0.33040063946874804</v>
      </c>
      <c r="U103" s="50">
        <v>0.57267421875458546</v>
      </c>
      <c r="V103" s="50">
        <v>0.32204896433000391</v>
      </c>
      <c r="W103" s="50">
        <v>0.86199245271979497</v>
      </c>
      <c r="X103" s="50">
        <v>3.3167500455820759E-2</v>
      </c>
      <c r="Y103" s="50">
        <v>0.66323036712158978</v>
      </c>
      <c r="AJ103" s="50">
        <v>0</v>
      </c>
      <c r="AK103" s="54">
        <f t="shared" si="2"/>
        <v>9.8999999999999808</v>
      </c>
    </row>
    <row r="104" spans="19:37" x14ac:dyDescent="0.25">
      <c r="S104" s="50">
        <v>0.47076743140736865</v>
      </c>
      <c r="T104" s="50">
        <v>0.31678513038457939</v>
      </c>
      <c r="U104" s="50">
        <v>0.58053985017286514</v>
      </c>
      <c r="V104" s="50">
        <v>0.26254872409664537</v>
      </c>
      <c r="W104" s="50">
        <v>0.7259951886347068</v>
      </c>
      <c r="X104" s="50">
        <v>6.2072043691987051E-2</v>
      </c>
      <c r="Y104" s="50">
        <v>0.61630124943138176</v>
      </c>
      <c r="AJ104" s="50">
        <v>0</v>
      </c>
      <c r="AK104" s="54">
        <f t="shared" si="2"/>
        <v>9.9999999999999805</v>
      </c>
    </row>
    <row r="105" spans="19:37" x14ac:dyDescent="0.25">
      <c r="S105" s="50">
        <v>0.52277031412154928</v>
      </c>
      <c r="T105" s="50">
        <v>0.36384076320005782</v>
      </c>
      <c r="U105" s="50">
        <v>0.66844490446785221</v>
      </c>
      <c r="V105" s="50">
        <v>0.46976270420225763</v>
      </c>
      <c r="W105" s="50">
        <v>0.79996545110671302</v>
      </c>
      <c r="X105" s="50">
        <v>3.620110894929305E-2</v>
      </c>
      <c r="Y105" s="50">
        <v>0.56890092227259492</v>
      </c>
    </row>
    <row r="106" spans="19:37" x14ac:dyDescent="0.25">
      <c r="S106" s="50">
        <v>0.446218228925022</v>
      </c>
      <c r="T106" s="50">
        <v>0.29664712741197974</v>
      </c>
      <c r="U106" s="50">
        <v>0.39084686083963327</v>
      </c>
      <c r="V106" s="50">
        <v>0.20164871088877609</v>
      </c>
      <c r="W106" s="50">
        <v>0.77339731219241914</v>
      </c>
      <c r="X106" s="50">
        <v>5.8843890409008559E-2</v>
      </c>
      <c r="Y106" s="50">
        <v>0.6971853499087427</v>
      </c>
    </row>
    <row r="107" spans="19:37" x14ac:dyDescent="0.25">
      <c r="S107" s="50">
        <v>0.46151543890716218</v>
      </c>
      <c r="T107" s="50">
        <v>0.3115644231875393</v>
      </c>
      <c r="U107" s="50">
        <v>0.32846323875111155</v>
      </c>
      <c r="V107" s="50">
        <v>0.20501773522667616</v>
      </c>
      <c r="W107" s="50">
        <v>0.88139313172736045</v>
      </c>
      <c r="X107" s="50">
        <v>7.942857263435496E-2</v>
      </c>
      <c r="Y107" s="50">
        <v>0.70037536743956896</v>
      </c>
    </row>
    <row r="108" spans="19:37" x14ac:dyDescent="0.25">
      <c r="S108" s="50">
        <v>0.50586029066190896</v>
      </c>
      <c r="T108" s="50">
        <v>0.3488992937832468</v>
      </c>
      <c r="U108" s="50">
        <v>0.65511699490396924</v>
      </c>
      <c r="V108" s="50">
        <v>0.31239430650552291</v>
      </c>
      <c r="W108" s="50">
        <v>0.83503296027762119</v>
      </c>
      <c r="X108" s="50">
        <v>3.6911502902943816E-2</v>
      </c>
      <c r="Y108" s="50">
        <v>0.61436148333417862</v>
      </c>
    </row>
    <row r="109" spans="19:37" x14ac:dyDescent="0.25">
      <c r="S109" s="50">
        <v>0.48853133110930136</v>
      </c>
      <c r="T109" s="50">
        <v>0.3334385787313181</v>
      </c>
      <c r="U109" s="50">
        <v>0.47819365642824141</v>
      </c>
      <c r="V109" s="50">
        <v>0.40578825550692771</v>
      </c>
      <c r="W109" s="50">
        <v>0.8301251890752146</v>
      </c>
      <c r="X109" s="50">
        <v>4.1936037053525541E-2</v>
      </c>
      <c r="Y109" s="50">
        <v>0.64032356398271972</v>
      </c>
    </row>
    <row r="110" spans="19:37" x14ac:dyDescent="0.25">
      <c r="S110" s="50">
        <v>0.50803138762037348</v>
      </c>
      <c r="T110" s="50">
        <v>0.35005168999691477</v>
      </c>
      <c r="U110" s="50">
        <v>0.42166912507945326</v>
      </c>
      <c r="V110" s="50">
        <v>0.26974975404443757</v>
      </c>
      <c r="W110" s="50">
        <v>0.80610085144353705</v>
      </c>
      <c r="X110" s="50">
        <v>8.2491268147742727E-2</v>
      </c>
      <c r="Y110" s="50">
        <v>0.579553729721352</v>
      </c>
    </row>
    <row r="111" spans="19:37" x14ac:dyDescent="0.25">
      <c r="S111" s="50">
        <v>0.43097609758332794</v>
      </c>
      <c r="T111" s="50">
        <v>0.284675272711719</v>
      </c>
      <c r="U111" s="50">
        <v>0.38719253002747495</v>
      </c>
      <c r="V111" s="50">
        <v>0.21395892328649338</v>
      </c>
      <c r="W111" s="50">
        <v>0.81749443124286181</v>
      </c>
      <c r="X111" s="50">
        <v>9.0372618846882746E-2</v>
      </c>
      <c r="Y111" s="50">
        <v>0.74114511652351389</v>
      </c>
    </row>
    <row r="112" spans="19:37" x14ac:dyDescent="0.25">
      <c r="S112" s="50">
        <v>0.47939426164491356</v>
      </c>
      <c r="T112" s="50">
        <v>0.32490716563126693</v>
      </c>
      <c r="U112" s="50">
        <v>0.39852120269463759</v>
      </c>
      <c r="V112" s="50">
        <v>0.35899189741326354</v>
      </c>
      <c r="W112" s="50">
        <v>0.77793217158320116</v>
      </c>
      <c r="X112" s="50">
        <v>3.8403391572004161E-2</v>
      </c>
      <c r="Y112" s="50">
        <v>0.63434857768118613</v>
      </c>
    </row>
    <row r="113" spans="19:25" x14ac:dyDescent="0.25">
      <c r="S113" s="50">
        <v>0.49931929484828041</v>
      </c>
      <c r="T113" s="50">
        <v>0.34426041807000074</v>
      </c>
      <c r="U113" s="50" t="s">
        <v>176</v>
      </c>
      <c r="V113" s="50" t="s">
        <v>176</v>
      </c>
      <c r="W113" s="50">
        <v>0.88580990871114518</v>
      </c>
      <c r="X113" s="50">
        <v>5.2177808890636307E-2</v>
      </c>
      <c r="Y113" s="50">
        <v>0.64303971718072717</v>
      </c>
    </row>
    <row r="114" spans="19:25" x14ac:dyDescent="0.25">
      <c r="S114" s="50">
        <v>0.41860142718023741</v>
      </c>
      <c r="T114" s="50">
        <v>0.27429027985019067</v>
      </c>
      <c r="U114" s="50">
        <v>0.37195853473603724</v>
      </c>
      <c r="V114" s="50">
        <v>0.38185715924200331</v>
      </c>
      <c r="W114" s="50">
        <v>0.8315513654825345</v>
      </c>
      <c r="X114" s="50">
        <v>5.2987939172830525E-2</v>
      </c>
      <c r="Y114" s="50">
        <v>0.78557376695998782</v>
      </c>
    </row>
    <row r="115" spans="19:25" x14ac:dyDescent="0.25">
      <c r="S115" s="50">
        <v>0.4789764866537492</v>
      </c>
      <c r="T115" s="50">
        <v>0.32494696599216893</v>
      </c>
      <c r="U115" s="50">
        <v>0.58812106830102739</v>
      </c>
      <c r="V115" s="50">
        <v>0.49269543630769075</v>
      </c>
      <c r="W115" s="50">
        <v>0.82014129365087718</v>
      </c>
      <c r="X115" s="50">
        <v>4.1136870197999338E-2</v>
      </c>
      <c r="Y115" s="50">
        <v>0.65374968972343372</v>
      </c>
    </row>
    <row r="116" spans="19:25" x14ac:dyDescent="0.25">
      <c r="S116" s="50">
        <v>0.51018796462964633</v>
      </c>
      <c r="T116" s="50">
        <v>0.35284605876814845</v>
      </c>
      <c r="U116" s="50" t="s">
        <v>176</v>
      </c>
      <c r="V116" s="50" t="s">
        <v>176</v>
      </c>
      <c r="W116" s="50">
        <v>0.8359153901902614</v>
      </c>
      <c r="X116" s="50">
        <v>4.3536082451434477E-2</v>
      </c>
      <c r="Y116" s="50">
        <v>0.60548953588489085</v>
      </c>
    </row>
    <row r="117" spans="19:25" x14ac:dyDescent="0.25">
      <c r="S117" s="50">
        <v>0.48722966359479192</v>
      </c>
      <c r="T117" s="50">
        <v>0.33171551633088314</v>
      </c>
      <c r="U117" s="50">
        <v>0.50800354755018573</v>
      </c>
      <c r="V117" s="50">
        <v>0.2855797351608898</v>
      </c>
      <c r="W117" s="50">
        <v>0.78260369783933381</v>
      </c>
      <c r="X117" s="50">
        <v>5.1616092906454886E-2</v>
      </c>
      <c r="Y117" s="50">
        <v>0.61658275355779557</v>
      </c>
    </row>
    <row r="118" spans="19:25" x14ac:dyDescent="0.25">
      <c r="S118" s="50">
        <v>0.45663083920722347</v>
      </c>
      <c r="T118" s="50">
        <v>0.30777058448899886</v>
      </c>
      <c r="U118" s="50">
        <v>0.32333663526314876</v>
      </c>
      <c r="V118" s="50">
        <v>0.55519067601793493</v>
      </c>
      <c r="W118" s="50">
        <v>0.88355967935776469</v>
      </c>
      <c r="X118" s="50">
        <v>9.7933964048300945E-2</v>
      </c>
      <c r="Y118" s="50">
        <v>0.70568682324341592</v>
      </c>
    </row>
    <row r="119" spans="19:25" x14ac:dyDescent="0.25">
      <c r="S119" s="50">
        <v>0.44975691201812207</v>
      </c>
      <c r="T119" s="50">
        <v>0.29933486947179333</v>
      </c>
      <c r="U119" s="50">
        <v>0.47382678534499856</v>
      </c>
      <c r="V119" s="50">
        <v>0.26791081781507364</v>
      </c>
      <c r="W119" s="50">
        <v>0.74068897285127988</v>
      </c>
      <c r="X119" s="50">
        <v>5.2215085100958999E-2</v>
      </c>
      <c r="Y119" s="50">
        <v>0.6766553119000267</v>
      </c>
    </row>
    <row r="120" spans="19:25" x14ac:dyDescent="0.25">
      <c r="S120" s="50">
        <v>0.44732003370905016</v>
      </c>
      <c r="T120" s="50">
        <v>0.29853438566353285</v>
      </c>
      <c r="U120" s="50">
        <v>0.50749046017183763</v>
      </c>
      <c r="V120" s="50">
        <v>0.36182771942340236</v>
      </c>
      <c r="W120" s="50">
        <v>0.8426540308123337</v>
      </c>
      <c r="X120" s="50">
        <v>7.5381568707475533E-2</v>
      </c>
      <c r="Y120" s="50">
        <v>0.71656063504158285</v>
      </c>
    </row>
    <row r="121" spans="19:25" x14ac:dyDescent="0.25">
      <c r="S121" s="50">
        <v>0.52944249004134825</v>
      </c>
      <c r="T121" s="50">
        <v>0.37114820757693279</v>
      </c>
      <c r="U121" s="50">
        <v>0.33602705298989183</v>
      </c>
      <c r="V121" s="50">
        <v>0.24849953921269397</v>
      </c>
      <c r="W121" s="50">
        <v>0.86454341945054469</v>
      </c>
      <c r="X121" s="50">
        <v>7.4633883616776447E-2</v>
      </c>
      <c r="Y121" s="50">
        <v>0.57956393914124282</v>
      </c>
    </row>
    <row r="122" spans="19:25" x14ac:dyDescent="0.25">
      <c r="S122" s="50">
        <v>0.51408186802187594</v>
      </c>
      <c r="T122" s="50">
        <v>0.35562868162724481</v>
      </c>
      <c r="U122" s="50">
        <v>0.37521062630758401</v>
      </c>
      <c r="V122" s="50">
        <v>0.34645824664264085</v>
      </c>
      <c r="W122" s="50">
        <v>0.81673047364455353</v>
      </c>
      <c r="X122" s="50">
        <v>8.6754575709159454E-2</v>
      </c>
      <c r="Y122" s="50">
        <v>0.57358491325493599</v>
      </c>
    </row>
  </sheetData>
  <mergeCells count="73">
    <mergeCell ref="B51:Q51"/>
    <mergeCell ref="C35:G35"/>
    <mergeCell ref="K35:N35"/>
    <mergeCell ref="C36:G36"/>
    <mergeCell ref="K36:N36"/>
    <mergeCell ref="C37:G37"/>
    <mergeCell ref="K37:N37"/>
    <mergeCell ref="P35:P37"/>
    <mergeCell ref="B47:Q47"/>
    <mergeCell ref="B48:Q48"/>
    <mergeCell ref="B49:Q49"/>
    <mergeCell ref="B50:Q50"/>
    <mergeCell ref="C27:F27"/>
    <mergeCell ref="C28:F28"/>
    <mergeCell ref="B31:Q31"/>
    <mergeCell ref="B33:G33"/>
    <mergeCell ref="I33:N33"/>
    <mergeCell ref="P33:P34"/>
    <mergeCell ref="C34:G34"/>
    <mergeCell ref="J34:N34"/>
    <mergeCell ref="I24:L24"/>
    <mergeCell ref="N24:Q24"/>
    <mergeCell ref="B25:Q25"/>
    <mergeCell ref="C26:F26"/>
    <mergeCell ref="I26:L26"/>
    <mergeCell ref="N26:O26"/>
    <mergeCell ref="U20:V20"/>
    <mergeCell ref="W20:Y20"/>
    <mergeCell ref="B22:B23"/>
    <mergeCell ref="C22:C23"/>
    <mergeCell ref="E22:E23"/>
    <mergeCell ref="I22:I23"/>
    <mergeCell ref="K22:K23"/>
    <mergeCell ref="N22:N23"/>
    <mergeCell ref="P22:P23"/>
    <mergeCell ref="P18:P19"/>
    <mergeCell ref="S18:Y18"/>
    <mergeCell ref="B20:B21"/>
    <mergeCell ref="C20:C21"/>
    <mergeCell ref="E20:E21"/>
    <mergeCell ref="I20:I21"/>
    <mergeCell ref="K20:K21"/>
    <mergeCell ref="N20:N21"/>
    <mergeCell ref="P20:P21"/>
    <mergeCell ref="S20:T20"/>
    <mergeCell ref="B18:B19"/>
    <mergeCell ref="C18:C19"/>
    <mergeCell ref="E18:E19"/>
    <mergeCell ref="I18:I19"/>
    <mergeCell ref="K18:K19"/>
    <mergeCell ref="N18:N19"/>
    <mergeCell ref="B15:Q15"/>
    <mergeCell ref="C16:F16"/>
    <mergeCell ref="I16:L16"/>
    <mergeCell ref="N16:Q16"/>
    <mergeCell ref="C17:D17"/>
    <mergeCell ref="E17:F17"/>
    <mergeCell ref="I17:J17"/>
    <mergeCell ref="K17:L17"/>
    <mergeCell ref="N17:O17"/>
    <mergeCell ref="P17:Q17"/>
    <mergeCell ref="K7:Q13"/>
    <mergeCell ref="C11:E11"/>
    <mergeCell ref="B13:D13"/>
    <mergeCell ref="F13:H13"/>
    <mergeCell ref="C14:D14"/>
    <mergeCell ref="F14:H14"/>
    <mergeCell ref="AB1:AE1"/>
    <mergeCell ref="O2:Q2"/>
    <mergeCell ref="S2:Y2"/>
    <mergeCell ref="AG2:AK2"/>
    <mergeCell ref="B6:I6"/>
    <mergeCell ref="K6:Q6"/>
  </mergeCells>
  <pageMargins left="0.75" right="0.75" top="1" bottom="1" header="0.5" footer="0.5"/>
  <pageSetup orientation="portrait" verticalDpi="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ThisWorkbook.unmeas_conf">
                <anchor moveWithCells="1" sizeWithCells="1">
                  <from>
                    <xdr:col>11</xdr:col>
                    <xdr:colOff>266700</xdr:colOff>
                    <xdr:row>10</xdr:row>
                    <xdr:rowOff>101600</xdr:rowOff>
                  </from>
                  <to>
                    <xdr:col>15</xdr:col>
                    <xdr:colOff>101600</xdr:colOff>
                    <xdr:row>13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896E-CCC6-D24F-8EC9-EACB3A3E984C}">
  <sheetPr codeName="Sheet5"/>
  <dimension ref="B1:BC70"/>
  <sheetViews>
    <sheetView zoomScale="80" zoomScaleNormal="80" workbookViewId="0">
      <selection activeCell="U25009" sqref="U25009:V25010"/>
    </sheetView>
  </sheetViews>
  <sheetFormatPr defaultColWidth="9.1796875" defaultRowHeight="12.5" x14ac:dyDescent="0.25"/>
  <cols>
    <col min="1" max="1" width="2.81640625" style="131" customWidth="1"/>
    <col min="2" max="2" width="16.36328125" style="131" customWidth="1"/>
    <col min="3" max="3" width="7.81640625" style="131" customWidth="1"/>
    <col min="4" max="4" width="3" style="131" customWidth="1"/>
    <col min="5" max="5" width="6.6328125" style="131" customWidth="1"/>
    <col min="6" max="6" width="3.453125" style="131" customWidth="1"/>
    <col min="7" max="7" width="5.1796875" style="131" customWidth="1"/>
    <col min="8" max="8" width="10" style="131" customWidth="1"/>
    <col min="9" max="9" width="4.36328125" style="131" customWidth="1"/>
    <col min="10" max="10" width="7.453125" style="131" customWidth="1"/>
    <col min="11" max="11" width="3.36328125" style="131" customWidth="1"/>
    <col min="12" max="12" width="4.6328125" style="131" customWidth="1"/>
    <col min="13" max="13" width="7.6328125" style="131" customWidth="1"/>
    <col min="14" max="14" width="3.1796875" style="131" customWidth="1"/>
    <col min="15" max="15" width="9.6328125" style="131" customWidth="1"/>
    <col min="16" max="16" width="8.1796875" style="131" customWidth="1"/>
    <col min="17" max="17" width="8.36328125" style="131" customWidth="1"/>
    <col min="18" max="18" width="6.54296875" style="131" customWidth="1"/>
    <col min="19" max="19" width="4.453125" style="131" bestFit="1" customWidth="1"/>
    <col min="20" max="20" width="4.6328125" style="131" customWidth="1"/>
    <col min="21" max="21" width="7.1796875" style="50" customWidth="1"/>
    <col min="22" max="22" width="6.6328125" style="50" customWidth="1"/>
    <col min="23" max="23" width="6.6328125" style="50" bestFit="1" customWidth="1"/>
    <col min="24" max="24" width="6" style="131" customWidth="1"/>
    <col min="25" max="25" width="9.36328125" style="131" customWidth="1"/>
    <col min="26" max="26" width="6.453125" style="131" customWidth="1"/>
    <col min="27" max="27" width="8.453125" style="131" customWidth="1"/>
    <col min="28" max="29" width="6.453125" style="20" customWidth="1"/>
    <col min="30" max="31" width="9.1796875" style="131"/>
    <col min="32" max="32" width="11.453125" style="131" customWidth="1"/>
    <col min="33" max="52" width="9.1796875" style="131"/>
    <col min="53" max="53" width="0" style="131" hidden="1" customWidth="1"/>
    <col min="54" max="54" width="12.81640625" style="131" hidden="1" customWidth="1"/>
    <col min="55" max="55" width="14.6328125" style="131" customWidth="1"/>
    <col min="56" max="16384" width="9.1796875" style="131"/>
  </cols>
  <sheetData>
    <row r="1" spans="2:55" ht="5.25" customHeight="1" x14ac:dyDescent="0.25">
      <c r="Z1" s="205"/>
      <c r="AA1" s="205"/>
      <c r="AB1" s="205"/>
      <c r="AC1" s="146"/>
    </row>
    <row r="2" spans="2:55" ht="29.5" thickBot="1" x14ac:dyDescent="0.4">
      <c r="B2" s="75" t="s">
        <v>150</v>
      </c>
      <c r="C2" s="75"/>
      <c r="D2" s="75"/>
      <c r="E2" s="75"/>
      <c r="F2" s="75"/>
      <c r="G2" s="75"/>
      <c r="H2" s="75"/>
      <c r="I2" s="75"/>
      <c r="J2" s="75"/>
      <c r="K2" s="75"/>
      <c r="L2" s="75"/>
      <c r="M2" s="75"/>
      <c r="N2" s="75"/>
      <c r="O2" s="75"/>
      <c r="P2" s="206" t="s">
        <v>74</v>
      </c>
      <c r="Q2" s="206"/>
      <c r="R2" s="206"/>
      <c r="S2" s="142"/>
      <c r="T2" s="142"/>
      <c r="U2" s="66" t="s">
        <v>96</v>
      </c>
      <c r="V2" s="66"/>
      <c r="W2" s="66"/>
      <c r="Y2" s="146"/>
      <c r="Z2" s="52" t="s">
        <v>41</v>
      </c>
      <c r="AA2" s="52" t="str">
        <f>C7</f>
        <v>Min</v>
      </c>
      <c r="AB2" s="52" t="str">
        <f>E7</f>
        <v>Mode</v>
      </c>
      <c r="AC2" s="52" t="str">
        <f t="shared" ref="AC2:AD6" si="0">G7</f>
        <v>Mode2</v>
      </c>
      <c r="AD2" s="52" t="str">
        <f t="shared" si="0"/>
        <v>Max</v>
      </c>
      <c r="AE2" s="52" t="s">
        <v>43</v>
      </c>
      <c r="AF2" s="52" t="s">
        <v>151</v>
      </c>
      <c r="AM2" s="207" t="s">
        <v>55</v>
      </c>
      <c r="AN2" s="207"/>
      <c r="AO2" s="207"/>
      <c r="AP2" s="207"/>
      <c r="AQ2" s="207"/>
      <c r="AR2" s="50"/>
      <c r="AW2" s="202" t="s">
        <v>186</v>
      </c>
      <c r="AX2" s="202" t="s">
        <v>187</v>
      </c>
      <c r="AY2" s="202" t="s">
        <v>188</v>
      </c>
      <c r="AZ2" s="202" t="s">
        <v>189</v>
      </c>
      <c r="BA2" s="202" t="s">
        <v>190</v>
      </c>
      <c r="BB2" s="202" t="s">
        <v>191</v>
      </c>
      <c r="BC2" s="202" t="s">
        <v>192</v>
      </c>
    </row>
    <row r="3" spans="2:55" ht="13.5" thickTop="1" x14ac:dyDescent="0.3">
      <c r="B3" s="19" t="s">
        <v>8</v>
      </c>
      <c r="U3" s="50" t="s">
        <v>47</v>
      </c>
      <c r="W3" s="50">
        <f ca="1">J26</f>
        <v>0.8829888792742171</v>
      </c>
      <c r="Y3" s="170" t="str">
        <f>B8</f>
        <v>S(Mobile+,Melanoma+)</v>
      </c>
      <c r="Z3" s="169">
        <f ca="1">RAND()</f>
        <v>0.71089516223030935</v>
      </c>
      <c r="AA3" s="168">
        <f>C8</f>
        <v>0.1</v>
      </c>
      <c r="AB3" s="168">
        <f>E8</f>
        <v>0.2</v>
      </c>
      <c r="AC3" s="168">
        <f t="shared" si="0"/>
        <v>0.3</v>
      </c>
      <c r="AD3" s="168">
        <f t="shared" si="0"/>
        <v>0.4</v>
      </c>
      <c r="AE3" s="168">
        <f ca="1">(Z3*(H8+G8-C8-E8)+(C8+E8))/2</f>
        <v>0.29217903244606191</v>
      </c>
      <c r="AF3" s="168">
        <f ca="1">IF(AE3&lt;E8,C8+SQRT((E8-C8)*(2*AE3-C8-E8)),IF(AE3&gt;G8,H8-SQRT((H8+G8-2*AE3)*(H8-G8)),AE3))</f>
        <v>0.29217903244606191</v>
      </c>
      <c r="AM3" s="52" t="s">
        <v>54</v>
      </c>
      <c r="AN3" s="52" t="str">
        <f>Y12</f>
        <v>S1,1</v>
      </c>
      <c r="AO3" s="52" t="str">
        <f>Z12</f>
        <v>S1,0</v>
      </c>
      <c r="AP3" s="52" t="str">
        <f>AA12</f>
        <v>S0,1</v>
      </c>
      <c r="AQ3" s="52" t="str">
        <f>AB12</f>
        <v>S0,0</v>
      </c>
      <c r="AR3" s="52" t="str">
        <f>AN3</f>
        <v>S1,1</v>
      </c>
      <c r="AS3" s="52" t="str">
        <f>AO3</f>
        <v>S1,0</v>
      </c>
      <c r="AT3" s="52" t="str">
        <f>AP3</f>
        <v>S0,1</v>
      </c>
      <c r="AU3" s="52" t="str">
        <f>AQ3</f>
        <v>S0,0</v>
      </c>
      <c r="AV3" s="54"/>
      <c r="AW3" s="203" t="s">
        <v>193</v>
      </c>
      <c r="AX3" s="203">
        <f>IF((C17/C21)/(E17/E21)&gt;0,(C17/C21)/(E17/E21),"")</f>
        <v>0.79842869784809312</v>
      </c>
      <c r="AY3" s="203">
        <f>IF(AX3&lt;&gt;"",AX3-EXP(LN((C17/C21)/(E17/E21))-1.96*W5),"")</f>
        <v>0.14660084528135742</v>
      </c>
      <c r="AZ3" s="203">
        <f>IF(AX3&lt;&gt;"",EXP(LN((C17/C21)/(E17/E21))+1.96*W5)-AX3,"")</f>
        <v>0.17957244622258617</v>
      </c>
      <c r="BA3" s="203"/>
      <c r="BB3" s="203"/>
      <c r="BC3" s="203">
        <v>2.5</v>
      </c>
    </row>
    <row r="4" spans="2:55" x14ac:dyDescent="0.25">
      <c r="U4" s="50" t="s">
        <v>48</v>
      </c>
      <c r="W4" s="50">
        <f ca="1">J27</f>
        <v>0.81892127138337445</v>
      </c>
      <c r="Y4" s="50" t="str">
        <f>B9</f>
        <v>S(Mobile+,Melanoma-)</v>
      </c>
      <c r="Z4" s="53">
        <f ca="1">RAND()</f>
        <v>0.93589949267183525</v>
      </c>
      <c r="AA4" s="54">
        <f>C9</f>
        <v>0.1</v>
      </c>
      <c r="AB4" s="54">
        <f>E9</f>
        <v>0.2</v>
      </c>
      <c r="AC4" s="54">
        <f t="shared" si="0"/>
        <v>0.3</v>
      </c>
      <c r="AD4" s="54">
        <f t="shared" si="0"/>
        <v>0.4</v>
      </c>
      <c r="AE4" s="54">
        <f ca="1">(Z4*(H9+G9-C9-E9)+(C9+E9))/2</f>
        <v>0.33717989853436703</v>
      </c>
      <c r="AF4" s="54">
        <f ca="1">IF(AE4&lt;E9,C9+SQRT((E9-C9)*(2*AE4-C9-E9)),IF(AE4&gt;G9,H9-SQRT((H9+G9-2*AE4)*(H9-G9)),AE4))</f>
        <v>0.34936384401313042</v>
      </c>
      <c r="AM4" s="54">
        <v>0</v>
      </c>
      <c r="AN4" s="50">
        <f t="array" ref="AN4:AN54">FREQUENCY(Y22:Y50022,AM4:AM54)</f>
        <v>0</v>
      </c>
      <c r="AO4" s="50">
        <f t="array" ref="AO4:AO54">FREQUENCY(Z22:Z50023,AM4:AM54)</f>
        <v>0</v>
      </c>
      <c r="AP4" s="50">
        <f t="array" ref="AP4:AP54">FREQUENCY(AA22:AA50022,AM4:AM54)</f>
        <v>0</v>
      </c>
      <c r="AQ4" s="50">
        <f t="array" ref="AQ4:AQ54">FREQUENCY(AB22:AB50023,AM4:AM54)</f>
        <v>0</v>
      </c>
      <c r="AR4" s="150">
        <f t="shared" ref="AR4:AR35" si="1">AN4/AN$55</f>
        <v>0</v>
      </c>
      <c r="AS4" s="150">
        <f t="shared" ref="AS4:AS35" si="2">AO4/AO$55</f>
        <v>0</v>
      </c>
      <c r="AT4" s="150">
        <f t="shared" ref="AT4:AT35" si="3">AP4/AP$55</f>
        <v>0</v>
      </c>
      <c r="AU4" s="150">
        <f t="shared" ref="AU4:AU35" si="4">AQ4/AQ$55</f>
        <v>0</v>
      </c>
      <c r="AV4" s="150"/>
      <c r="AW4" s="203" t="s">
        <v>194</v>
      </c>
      <c r="AX4" s="203">
        <f>IF(U14&lt;&gt;"",PERCENTILE(U14:U50005,0.5),"")</f>
        <v>0.59468540370311174</v>
      </c>
      <c r="AY4" s="203">
        <f>IF(U14&lt;&gt;"",AX4-PERCENTILE(U14:U50005,0.025),"")</f>
        <v>0.14660513542859277</v>
      </c>
      <c r="AZ4" s="203">
        <f>IF(U14&lt;&gt;"",PERCENTILE(U14:U50005,0.975)-AX4,"")</f>
        <v>0.25782077840225637</v>
      </c>
      <c r="BA4" s="203"/>
      <c r="BB4" s="203"/>
      <c r="BC4" s="203">
        <v>1.5</v>
      </c>
    </row>
    <row r="5" spans="2:55" x14ac:dyDescent="0.25">
      <c r="U5" s="50" t="s">
        <v>3</v>
      </c>
      <c r="W5" s="50">
        <f>SQRT(1/C17+1/E17-1/C21-1/E21)</f>
        <v>0.10350263841365474</v>
      </c>
      <c r="Y5" s="50" t="str">
        <f>B10</f>
        <v>S(Mobile-,Melanoma+)</v>
      </c>
      <c r="Z5" s="53">
        <f ca="1">RAND()</f>
        <v>0.56628738022966307</v>
      </c>
      <c r="AA5" s="54">
        <f>C10</f>
        <v>0.1</v>
      </c>
      <c r="AB5" s="54">
        <f>E10</f>
        <v>0.2</v>
      </c>
      <c r="AC5" s="54">
        <f t="shared" si="0"/>
        <v>0.3</v>
      </c>
      <c r="AD5" s="54">
        <f t="shared" si="0"/>
        <v>0.4</v>
      </c>
      <c r="AE5" s="54">
        <f ca="1">(Z5*(H10+G10-C10-E10)+(C10+E10))/2</f>
        <v>0.26325747604593264</v>
      </c>
      <c r="AF5" s="54">
        <f ca="1">IF(AE5&lt;E10,C10+SQRT((E10-C10)*(2*AE5-C10-E10)),IF(AE5&gt;G10,H10-SQRT((H10+G10-2*AE5)*(H10-G10)),AE5))</f>
        <v>0.26325747604593264</v>
      </c>
      <c r="AM5" s="54">
        <f t="shared" ref="AM5:AM36" si="5">AM4+0.02</f>
        <v>0.02</v>
      </c>
      <c r="AN5" s="50">
        <v>0</v>
      </c>
      <c r="AO5" s="50">
        <v>0</v>
      </c>
      <c r="AP5" s="50">
        <v>0</v>
      </c>
      <c r="AQ5" s="50">
        <v>0</v>
      </c>
      <c r="AR5" s="150">
        <f t="shared" si="1"/>
        <v>0</v>
      </c>
      <c r="AS5" s="150">
        <f t="shared" si="2"/>
        <v>0</v>
      </c>
      <c r="AT5" s="150">
        <f t="shared" si="3"/>
        <v>0</v>
      </c>
      <c r="AU5" s="150">
        <f t="shared" si="4"/>
        <v>0</v>
      </c>
      <c r="AV5" s="150"/>
      <c r="AW5" s="203" t="s">
        <v>67</v>
      </c>
      <c r="AX5" s="203">
        <f>IF(W14&lt;&gt;"",PERCENTILE(W14:W50005,0.5),"")</f>
        <v>0.62184677951841283</v>
      </c>
      <c r="AY5" s="204">
        <f>IF(W14&lt;&gt;"",AX5-PERCENTILE(W14:W50005,0.025),"")</f>
        <v>0.13167560229192887</v>
      </c>
      <c r="AZ5" s="204">
        <f>IF(W14&lt;&gt;"",PERCENTILE(W14:W50005,0.975)-AX5,"")</f>
        <v>0.23277733875591411</v>
      </c>
      <c r="BA5" s="203"/>
      <c r="BB5" s="203"/>
      <c r="BC5" s="203">
        <v>0.5</v>
      </c>
    </row>
    <row r="6" spans="2:55" ht="13" x14ac:dyDescent="0.3">
      <c r="B6" s="208" t="s">
        <v>7</v>
      </c>
      <c r="C6" s="208"/>
      <c r="D6" s="208"/>
      <c r="E6" s="208"/>
      <c r="F6" s="208"/>
      <c r="G6" s="208"/>
      <c r="H6" s="208"/>
      <c r="I6" s="208"/>
      <c r="K6" s="209" t="s">
        <v>5</v>
      </c>
      <c r="L6" s="209"/>
      <c r="M6" s="209"/>
      <c r="N6" s="209"/>
      <c r="O6" s="209"/>
      <c r="P6" s="209"/>
      <c r="Q6" s="209"/>
      <c r="R6" s="209"/>
      <c r="S6" s="31"/>
      <c r="T6" s="31"/>
      <c r="U6" s="50" t="s">
        <v>2</v>
      </c>
      <c r="W6" s="50">
        <f>SQRT(1/C17+1/E17+1/C19+1/E19)</f>
        <v>0.1616364593667016</v>
      </c>
      <c r="Y6" s="66" t="str">
        <f>B11</f>
        <v>S(Mobile-,Melanoma-)</v>
      </c>
      <c r="Z6" s="69">
        <f ca="1">RAND()</f>
        <v>0.60712578485056856</v>
      </c>
      <c r="AA6" s="141">
        <f>C11</f>
        <v>0.1</v>
      </c>
      <c r="AB6" s="141">
        <f>E11</f>
        <v>0.2</v>
      </c>
      <c r="AC6" s="141">
        <f t="shared" si="0"/>
        <v>0.3</v>
      </c>
      <c r="AD6" s="141">
        <f t="shared" si="0"/>
        <v>0.4</v>
      </c>
      <c r="AE6" s="141">
        <f ca="1">(Z6*(H11+G11-C11-E11)+(C11+E11))/2</f>
        <v>0.27142515697011371</v>
      </c>
      <c r="AF6" s="141">
        <f ca="1">IF(AE6&lt;E11,C11+SQRT((E11-C11)*(2*AE6-C11-E11)),IF(AE6&gt;G11,H11-SQRT((H11+G11-2*AE6)*(H11-G11)),AE6))</f>
        <v>0.27142515697011371</v>
      </c>
      <c r="AM6" s="54">
        <f t="shared" si="5"/>
        <v>0.04</v>
      </c>
      <c r="AN6" s="50">
        <v>0</v>
      </c>
      <c r="AO6" s="50">
        <v>0</v>
      </c>
      <c r="AP6" s="50">
        <v>0</v>
      </c>
      <c r="AQ6" s="50">
        <v>0</v>
      </c>
      <c r="AR6" s="150">
        <f t="shared" si="1"/>
        <v>0</v>
      </c>
      <c r="AS6" s="150">
        <f t="shared" si="2"/>
        <v>0</v>
      </c>
      <c r="AT6" s="150">
        <f t="shared" si="3"/>
        <v>0</v>
      </c>
      <c r="AU6" s="150">
        <f t="shared" si="4"/>
        <v>0</v>
      </c>
      <c r="AV6" s="150"/>
    </row>
    <row r="7" spans="2:55" ht="15.75" customHeight="1" x14ac:dyDescent="0.35">
      <c r="C7" s="9" t="s">
        <v>37</v>
      </c>
      <c r="D7" s="61"/>
      <c r="E7" s="9" t="s">
        <v>38</v>
      </c>
      <c r="F7" s="1"/>
      <c r="G7" s="9" t="s">
        <v>40</v>
      </c>
      <c r="H7" s="46" t="s">
        <v>39</v>
      </c>
      <c r="I7" s="46"/>
      <c r="K7" s="1" t="s">
        <v>149</v>
      </c>
      <c r="L7" s="160"/>
      <c r="M7" s="160"/>
      <c r="N7" s="160"/>
      <c r="O7" s="160"/>
      <c r="P7" s="160"/>
      <c r="Q7" s="160"/>
      <c r="R7" s="160"/>
      <c r="S7" s="163"/>
      <c r="T7" s="163"/>
      <c r="U7" s="50" t="s">
        <v>94</v>
      </c>
      <c r="W7" s="77">
        <f ca="1">IF(W9=TRUE,"",EXP(LN(W3)-W5*NORMINV(RAND(),0,1)))</f>
        <v>0.77143854825612634</v>
      </c>
      <c r="Y7" s="167"/>
      <c r="AM7" s="54">
        <f t="shared" si="5"/>
        <v>0.06</v>
      </c>
      <c r="AN7" s="50">
        <v>0</v>
      </c>
      <c r="AO7" s="50">
        <v>0</v>
      </c>
      <c r="AP7" s="50">
        <v>0</v>
      </c>
      <c r="AQ7" s="50">
        <v>0</v>
      </c>
      <c r="AR7" s="150">
        <f t="shared" si="1"/>
        <v>0</v>
      </c>
      <c r="AS7" s="150">
        <f t="shared" si="2"/>
        <v>0</v>
      </c>
      <c r="AT7" s="150">
        <f t="shared" si="3"/>
        <v>0</v>
      </c>
      <c r="AU7" s="150">
        <f t="shared" si="4"/>
        <v>0</v>
      </c>
      <c r="AV7" s="150"/>
      <c r="AW7" s="202" t="s">
        <v>186</v>
      </c>
      <c r="AX7" s="202" t="s">
        <v>187</v>
      </c>
      <c r="AY7" s="202" t="s">
        <v>188</v>
      </c>
      <c r="AZ7" s="202" t="s">
        <v>189</v>
      </c>
      <c r="BA7" s="202" t="s">
        <v>190</v>
      </c>
      <c r="BB7" s="202" t="s">
        <v>191</v>
      </c>
      <c r="BC7" s="202" t="s">
        <v>192</v>
      </c>
    </row>
    <row r="8" spans="2:55" ht="15" customHeight="1" x14ac:dyDescent="0.3">
      <c r="B8" s="70" t="str">
        <f>IF(K8&lt;&gt;"",IF(K9&lt;&gt;"",CONCATENATE("S(",K8,"+,",K9,"+)"),CONCATENATE("S(",K8,"+,E+)")),IF(K9&lt;&gt;"",CONCATENATE("S(D+,",K8,"+)"),"S(D+,E+)"))</f>
        <v>S(Mobile+,Melanoma+)</v>
      </c>
      <c r="C8" s="171">
        <v>0.1</v>
      </c>
      <c r="D8" s="149"/>
      <c r="E8" s="171">
        <v>0.2</v>
      </c>
      <c r="F8" s="149"/>
      <c r="G8" s="171">
        <v>0.3</v>
      </c>
      <c r="H8" s="171">
        <v>0.4</v>
      </c>
      <c r="J8" s="1" t="s">
        <v>10</v>
      </c>
      <c r="K8" s="216" t="s">
        <v>80</v>
      </c>
      <c r="L8" s="216"/>
      <c r="M8" s="216"/>
      <c r="N8" s="160"/>
      <c r="O8" s="160"/>
      <c r="P8" s="160"/>
      <c r="Q8" s="160"/>
      <c r="R8" s="160"/>
      <c r="S8" s="163"/>
      <c r="T8" s="163"/>
      <c r="U8" s="50" t="s">
        <v>95</v>
      </c>
      <c r="W8" s="77">
        <f ca="1">IF(W9=TRUE,"",EXP(LN(W4)-W6*NORMINV(RAND(),0,1)))</f>
        <v>0.99762580523625533</v>
      </c>
      <c r="AC8" s="166"/>
      <c r="AM8" s="54">
        <f t="shared" si="5"/>
        <v>0.08</v>
      </c>
      <c r="AN8" s="50">
        <v>0</v>
      </c>
      <c r="AO8" s="50">
        <v>0</v>
      </c>
      <c r="AP8" s="50">
        <v>0</v>
      </c>
      <c r="AQ8" s="50">
        <v>0</v>
      </c>
      <c r="AR8" s="150">
        <f t="shared" si="1"/>
        <v>0</v>
      </c>
      <c r="AS8" s="150">
        <f t="shared" si="2"/>
        <v>0</v>
      </c>
      <c r="AT8" s="150">
        <f t="shared" si="3"/>
        <v>0</v>
      </c>
      <c r="AU8" s="150">
        <f t="shared" si="4"/>
        <v>0</v>
      </c>
      <c r="AV8" s="150"/>
      <c r="AW8" s="203" t="s">
        <v>193</v>
      </c>
      <c r="AX8" s="203">
        <f>IF((C17/C19)/(E17/E19)&gt;0,(C17/C19)/(E17/E19),"")</f>
        <v>0.70612668743509877</v>
      </c>
      <c r="AY8" s="203">
        <f>IF(AX8&lt;&gt;"",AX8-EXP(LN((C17/C19)/(E17/E19))-1.96*W6),"")</f>
        <v>0.19173387248707174</v>
      </c>
      <c r="AZ8" s="203">
        <f>IF(AX8&lt;&gt;"",EXP(LN((C17/C19)/(E17/E19))+1.96*W6)-AX8,"")</f>
        <v>0.26320041865685651</v>
      </c>
      <c r="BA8" s="203"/>
      <c r="BB8" s="203"/>
      <c r="BC8" s="203">
        <v>2.5</v>
      </c>
    </row>
    <row r="9" spans="2:55" ht="13" x14ac:dyDescent="0.3">
      <c r="B9" s="70" t="str">
        <f>IF(K8&lt;&gt;"",IF(K9&lt;&gt;"",CONCATENATE("S(",K8,"+,",K9,"-)"),CONCATENATE("S(",K8,"+,E-)")),IF(K9&lt;&gt;"",CONCATENATE("S(D+,",K9,"-)"),"S(D+,E-)"))</f>
        <v>S(Mobile+,Melanoma-)</v>
      </c>
      <c r="C9" s="171">
        <v>0.1</v>
      </c>
      <c r="D9" s="149"/>
      <c r="E9" s="171">
        <v>0.2</v>
      </c>
      <c r="F9" s="149"/>
      <c r="G9" s="171">
        <v>0.3</v>
      </c>
      <c r="H9" s="171">
        <v>0.4</v>
      </c>
      <c r="J9" s="1" t="s">
        <v>11</v>
      </c>
      <c r="K9" s="216" t="s">
        <v>81</v>
      </c>
      <c r="L9" s="216"/>
      <c r="M9" s="216"/>
      <c r="N9" s="160"/>
      <c r="O9" s="160"/>
      <c r="P9" s="160"/>
      <c r="Q9" s="160"/>
      <c r="R9" s="160"/>
      <c r="S9" s="163"/>
      <c r="T9" s="163"/>
      <c r="U9" s="50" t="s">
        <v>148</v>
      </c>
      <c r="W9" s="50" t="b">
        <f ca="1">OR(H17&lt;=0,J17&lt;=0,H19&lt;=0,J19&lt;=0)</f>
        <v>0</v>
      </c>
      <c r="AC9" s="166"/>
      <c r="AM9" s="54">
        <f t="shared" si="5"/>
        <v>0.1</v>
      </c>
      <c r="AN9" s="50">
        <v>0</v>
      </c>
      <c r="AO9" s="50">
        <v>0</v>
      </c>
      <c r="AP9" s="50">
        <v>0</v>
      </c>
      <c r="AQ9" s="50">
        <v>0</v>
      </c>
      <c r="AR9" s="150">
        <f t="shared" si="1"/>
        <v>0</v>
      </c>
      <c r="AS9" s="150">
        <f t="shared" si="2"/>
        <v>0</v>
      </c>
      <c r="AT9" s="150">
        <f t="shared" si="3"/>
        <v>0</v>
      </c>
      <c r="AU9" s="150">
        <f t="shared" si="4"/>
        <v>0</v>
      </c>
      <c r="AV9" s="150"/>
      <c r="AW9" s="203" t="s">
        <v>194</v>
      </c>
      <c r="AX9" s="203">
        <f>IF(V14&lt;&gt;"",PERCENTILE(V14:V50005,0.5),"")</f>
        <v>0.4351536198263819</v>
      </c>
      <c r="AY9" s="203">
        <f>IF(V14&lt;&gt;"",AX9-PERCENTILE(V14:V50005,0.025),"")</f>
        <v>0.17774858720421205</v>
      </c>
      <c r="AZ9" s="203">
        <f>IF(V14&lt;&gt;"",PERCENTILE(V15:V50006,0.975)-AX9,"")</f>
        <v>0.35978689195943925</v>
      </c>
      <c r="BA9" s="203"/>
      <c r="BB9" s="203"/>
      <c r="BC9" s="203">
        <v>1.5</v>
      </c>
    </row>
    <row r="10" spans="2:55" ht="13" x14ac:dyDescent="0.3">
      <c r="B10" s="70" t="str">
        <f>IF(K8&lt;&gt;"",IF(K9&lt;&gt;"",CONCATENATE("S(",K8,"-,",K9,"+)"),CONCATENATE("S(",K8,"-,E+)")),IF(K9&lt;&gt;"",CONCATENATE("S(D-,",K9,"+)"),"S(D-,E+)"))</f>
        <v>S(Mobile-,Melanoma+)</v>
      </c>
      <c r="C10" s="171">
        <v>0.1</v>
      </c>
      <c r="D10" s="149"/>
      <c r="E10" s="171">
        <v>0.2</v>
      </c>
      <c r="F10" s="149"/>
      <c r="G10" s="171">
        <v>0.3</v>
      </c>
      <c r="H10" s="171">
        <v>0.4</v>
      </c>
      <c r="J10" s="1" t="s">
        <v>46</v>
      </c>
      <c r="K10" s="212">
        <v>10</v>
      </c>
      <c r="L10" s="212"/>
      <c r="M10" s="212"/>
      <c r="N10" s="160"/>
      <c r="O10" s="160"/>
      <c r="P10" s="160"/>
      <c r="Q10" s="160"/>
      <c r="R10" s="160"/>
      <c r="S10" s="163"/>
      <c r="T10" s="163"/>
      <c r="AB10" s="11"/>
      <c r="AM10" s="54">
        <f t="shared" si="5"/>
        <v>0.12000000000000001</v>
      </c>
      <c r="AN10" s="50">
        <v>0</v>
      </c>
      <c r="AO10" s="50">
        <v>0</v>
      </c>
      <c r="AP10" s="50">
        <v>0</v>
      </c>
      <c r="AQ10" s="50">
        <v>0</v>
      </c>
      <c r="AR10" s="150">
        <f t="shared" si="1"/>
        <v>0</v>
      </c>
      <c r="AS10" s="150">
        <f t="shared" si="2"/>
        <v>0</v>
      </c>
      <c r="AT10" s="150">
        <f t="shared" si="3"/>
        <v>0</v>
      </c>
      <c r="AU10" s="150">
        <f t="shared" si="4"/>
        <v>0</v>
      </c>
      <c r="AV10" s="150"/>
      <c r="AW10" s="203" t="s">
        <v>67</v>
      </c>
      <c r="AX10" s="203">
        <f>IF(X14&lt;&gt;"",PERCENTILE(X14:X50005,0.5),"")</f>
        <v>0.49738092958958302</v>
      </c>
      <c r="AY10" s="204">
        <f>IF(X14&lt;&gt;"",AX10-PERCENTILE(X14:X50005,0.025),"")</f>
        <v>0.1953138908912565</v>
      </c>
      <c r="AZ10" s="204">
        <f>IF(X14&lt;&gt;"",PERCENTILE(X14:X50005,0.975)-AX10,"")</f>
        <v>0.36301599190295275</v>
      </c>
      <c r="BA10" s="203"/>
      <c r="BB10" s="203"/>
      <c r="BC10" s="203">
        <v>0.5</v>
      </c>
    </row>
    <row r="11" spans="2:55" ht="15.75" customHeight="1" x14ac:dyDescent="0.3">
      <c r="B11" s="70" t="str">
        <f>IF(K8&lt;&gt;"",IF(K9&lt;&gt;"",CONCATENATE("S(",K8,"-,",K9,"-)"),CONCATENATE("S(",K8,"-,E-)")),IF(K9&lt;&gt;"",CONCATENATE("S(D-,",K9,"-)"),"S(D-,E-)"))</f>
        <v>S(Mobile-,Melanoma-)</v>
      </c>
      <c r="C11" s="171">
        <v>0.1</v>
      </c>
      <c r="D11" s="149"/>
      <c r="E11" s="171">
        <v>0.2</v>
      </c>
      <c r="F11" s="149"/>
      <c r="G11" s="171">
        <v>0.3</v>
      </c>
      <c r="H11" s="171">
        <v>0.4</v>
      </c>
      <c r="K11" s="160"/>
      <c r="L11" s="160"/>
      <c r="M11" s="160"/>
      <c r="N11" s="160"/>
      <c r="O11" s="160"/>
      <c r="P11" s="160"/>
      <c r="Q11" s="160"/>
      <c r="R11" s="160"/>
      <c r="S11" s="163"/>
      <c r="T11" s="163"/>
      <c r="U11" s="52" t="s">
        <v>70</v>
      </c>
      <c r="V11" s="52"/>
      <c r="W11" s="52" t="s">
        <v>67</v>
      </c>
      <c r="X11" s="52"/>
      <c r="Y11" s="58" t="s">
        <v>53</v>
      </c>
      <c r="Z11" s="58"/>
      <c r="AA11" s="58"/>
      <c r="AB11" s="58"/>
      <c r="AM11" s="54">
        <f t="shared" si="5"/>
        <v>0.14000000000000001</v>
      </c>
      <c r="AN11" s="50">
        <v>0</v>
      </c>
      <c r="AO11" s="50">
        <v>0</v>
      </c>
      <c r="AP11" s="50">
        <v>0</v>
      </c>
      <c r="AQ11" s="50">
        <v>0</v>
      </c>
      <c r="AR11" s="150">
        <f t="shared" si="1"/>
        <v>0</v>
      </c>
      <c r="AS11" s="150">
        <f t="shared" si="2"/>
        <v>0</v>
      </c>
      <c r="AT11" s="150">
        <f t="shared" si="3"/>
        <v>0</v>
      </c>
      <c r="AU11" s="150">
        <f t="shared" si="4"/>
        <v>0</v>
      </c>
      <c r="AV11" s="150"/>
    </row>
    <row r="12" spans="2:55" ht="15.75" customHeight="1" x14ac:dyDescent="0.25">
      <c r="E12" s="165"/>
      <c r="F12" s="136"/>
      <c r="G12" s="165"/>
      <c r="H12" s="165"/>
      <c r="I12" s="165"/>
      <c r="K12" s="160"/>
      <c r="L12" s="160"/>
      <c r="M12" s="160"/>
      <c r="N12" s="160"/>
      <c r="O12" s="160"/>
      <c r="P12" s="160"/>
      <c r="Q12" s="160"/>
      <c r="R12" s="160"/>
      <c r="S12" s="163"/>
      <c r="T12" s="163"/>
      <c r="U12" s="52" t="s">
        <v>47</v>
      </c>
      <c r="V12" s="52" t="s">
        <v>48</v>
      </c>
      <c r="W12" s="52" t="str">
        <f>U12</f>
        <v>RR</v>
      </c>
      <c r="X12" s="52" t="str">
        <f>V12</f>
        <v>OR</v>
      </c>
      <c r="Y12" s="52" t="str">
        <f>N26</f>
        <v>S1,1</v>
      </c>
      <c r="Z12" s="52" t="str">
        <f>N27</f>
        <v>S1,0</v>
      </c>
      <c r="AA12" s="52" t="str">
        <f>Q26</f>
        <v>S0,1</v>
      </c>
      <c r="AB12" s="52" t="str">
        <f>Q27</f>
        <v>S0,0</v>
      </c>
      <c r="AM12" s="54">
        <f t="shared" si="5"/>
        <v>0.16</v>
      </c>
      <c r="AN12" s="50">
        <v>0</v>
      </c>
      <c r="AO12" s="50">
        <v>0</v>
      </c>
      <c r="AP12" s="50">
        <v>0</v>
      </c>
      <c r="AQ12" s="50">
        <v>0</v>
      </c>
      <c r="AR12" s="150">
        <f t="shared" si="1"/>
        <v>0</v>
      </c>
      <c r="AS12" s="150">
        <f t="shared" si="2"/>
        <v>0</v>
      </c>
      <c r="AT12" s="150">
        <f t="shared" si="3"/>
        <v>0</v>
      </c>
      <c r="AU12" s="150">
        <f t="shared" si="4"/>
        <v>0</v>
      </c>
      <c r="AV12" s="150"/>
    </row>
    <row r="13" spans="2:55" ht="15.75" customHeight="1" x14ac:dyDescent="0.3">
      <c r="I13" s="31"/>
      <c r="K13" s="160"/>
      <c r="L13" s="160"/>
      <c r="M13" s="160"/>
      <c r="N13" s="160"/>
      <c r="O13" s="160"/>
      <c r="P13" s="160"/>
      <c r="Q13" s="160"/>
      <c r="R13" s="160"/>
      <c r="S13" s="163"/>
      <c r="T13" s="163"/>
      <c r="U13" s="141">
        <f ca="1">W3</f>
        <v>0.8829888792742171</v>
      </c>
      <c r="V13" s="141">
        <f ca="1">W4</f>
        <v>0.81892127138337445</v>
      </c>
      <c r="W13" s="164">
        <f ca="1">W7</f>
        <v>0.77143854825612634</v>
      </c>
      <c r="X13" s="164">
        <f ca="1">W8</f>
        <v>0.99762580523625533</v>
      </c>
      <c r="Y13" s="164">
        <f ca="1">AF3</f>
        <v>0.29217903244606191</v>
      </c>
      <c r="Z13" s="164">
        <f ca="1">AF4</f>
        <v>0.34936384401313042</v>
      </c>
      <c r="AA13" s="164">
        <f ca="1">AF5</f>
        <v>0.26325747604593264</v>
      </c>
      <c r="AB13" s="164">
        <f ca="1">AF6</f>
        <v>0.27142515697011371</v>
      </c>
      <c r="AM13" s="54">
        <f t="shared" si="5"/>
        <v>0.18</v>
      </c>
      <c r="AN13" s="50">
        <v>1</v>
      </c>
      <c r="AO13" s="50">
        <v>1</v>
      </c>
      <c r="AP13" s="50">
        <v>2</v>
      </c>
      <c r="AQ13" s="50">
        <v>0</v>
      </c>
      <c r="AR13" s="150">
        <f t="shared" si="1"/>
        <v>0.5</v>
      </c>
      <c r="AS13" s="150">
        <f t="shared" si="2"/>
        <v>0.5</v>
      </c>
      <c r="AT13" s="150">
        <f t="shared" si="3"/>
        <v>1</v>
      </c>
      <c r="AU13" s="150">
        <f t="shared" si="4"/>
        <v>0</v>
      </c>
      <c r="AV13" s="150"/>
    </row>
    <row r="14" spans="2:55" ht="17.25" customHeight="1" x14ac:dyDescent="0.3">
      <c r="B14" s="218" t="str">
        <f>IF(K8&lt;&gt;"",IF(K9&lt;&gt;"",CONCATENATE("Data (Enter Crude ",K8,"-",K9," Data in Blue Cells)"),"Data (Enter Crude Data in Blue Cells)"),"Data (Enter Crude Data in Blue Cells)")</f>
        <v>Data (Enter Crude Mobile-Melanoma Data in Blue Cells)</v>
      </c>
      <c r="C14" s="218"/>
      <c r="D14" s="218"/>
      <c r="E14" s="218"/>
      <c r="F14" s="218"/>
      <c r="G14" s="218"/>
      <c r="H14" s="218"/>
      <c r="I14" s="218"/>
      <c r="J14" s="218"/>
      <c r="K14" s="218"/>
      <c r="L14" s="218"/>
      <c r="M14" s="218"/>
      <c r="N14" s="218"/>
      <c r="O14" s="218"/>
      <c r="P14" s="218"/>
      <c r="Q14" s="218"/>
      <c r="R14" s="218"/>
      <c r="S14" s="163"/>
      <c r="T14" s="163"/>
      <c r="U14" s="50">
        <v>0.55838161490797145</v>
      </c>
      <c r="V14" s="50">
        <v>0.44999607408882075</v>
      </c>
      <c r="W14" s="50">
        <v>0.49620916599028647</v>
      </c>
      <c r="X14" s="50">
        <v>0.43408105705423866</v>
      </c>
      <c r="Y14" s="50">
        <v>0.33051133321127868</v>
      </c>
      <c r="Z14" s="50">
        <v>0.17714467448953275</v>
      </c>
      <c r="AA14" s="50">
        <v>0.32260148743415107</v>
      </c>
      <c r="AB14" s="50">
        <v>0.27132012647338377</v>
      </c>
      <c r="AM14" s="54">
        <f t="shared" si="5"/>
        <v>0.19999999999999998</v>
      </c>
      <c r="AN14" s="50">
        <v>0</v>
      </c>
      <c r="AO14" s="50">
        <v>0</v>
      </c>
      <c r="AP14" s="50">
        <v>0</v>
      </c>
      <c r="AQ14" s="50">
        <v>0</v>
      </c>
      <c r="AR14" s="150">
        <f t="shared" si="1"/>
        <v>0</v>
      </c>
      <c r="AS14" s="150">
        <f t="shared" si="2"/>
        <v>0</v>
      </c>
      <c r="AT14" s="150">
        <f t="shared" si="3"/>
        <v>0</v>
      </c>
      <c r="AU14" s="150">
        <f t="shared" si="4"/>
        <v>0</v>
      </c>
      <c r="AV14" s="150"/>
    </row>
    <row r="15" spans="2:55" ht="13.5" thickBot="1" x14ac:dyDescent="0.35">
      <c r="B15" s="145"/>
      <c r="C15" s="219" t="s">
        <v>34</v>
      </c>
      <c r="D15" s="219"/>
      <c r="E15" s="219"/>
      <c r="F15" s="219"/>
      <c r="G15" s="5"/>
      <c r="H15" s="219" t="s">
        <v>147</v>
      </c>
      <c r="I15" s="219"/>
      <c r="J15" s="219"/>
      <c r="K15" s="219"/>
      <c r="L15" s="162"/>
      <c r="M15" s="219" t="s">
        <v>165</v>
      </c>
      <c r="N15" s="219"/>
      <c r="O15" s="219"/>
      <c r="P15" s="219"/>
      <c r="R15" s="160"/>
      <c r="U15" s="50">
        <v>0.4392346406086543</v>
      </c>
      <c r="V15" s="50">
        <v>0.24716282590831604</v>
      </c>
      <c r="W15" s="50">
        <v>0.49217442917929277</v>
      </c>
      <c r="X15" s="50">
        <v>0.28454584228306717</v>
      </c>
      <c r="Y15" s="50">
        <v>0.22818760204073274</v>
      </c>
      <c r="Z15" s="50">
        <v>0.17068369944512712</v>
      </c>
      <c r="AA15" s="50">
        <v>0.16205389039227003</v>
      </c>
      <c r="AB15" s="50">
        <v>0.34630514023481862</v>
      </c>
      <c r="AM15" s="54">
        <f t="shared" si="5"/>
        <v>0.21999999999999997</v>
      </c>
      <c r="AN15" s="50">
        <v>0</v>
      </c>
      <c r="AO15" s="50">
        <v>1</v>
      </c>
      <c r="AP15" s="50">
        <v>0</v>
      </c>
      <c r="AQ15" s="50">
        <v>0</v>
      </c>
      <c r="AR15" s="150">
        <f t="shared" si="1"/>
        <v>0</v>
      </c>
      <c r="AS15" s="150">
        <f t="shared" si="2"/>
        <v>0.5</v>
      </c>
      <c r="AT15" s="150">
        <f t="shared" si="3"/>
        <v>0</v>
      </c>
      <c r="AU15" s="150">
        <f t="shared" si="4"/>
        <v>0</v>
      </c>
      <c r="AV15" s="150"/>
    </row>
    <row r="16" spans="2:55" ht="13.5" thickBot="1" x14ac:dyDescent="0.35">
      <c r="B16" s="161"/>
      <c r="C16" s="219" t="str">
        <f>IF(K8&lt;&gt;"",CONCATENATE(K8," +"),"E+")</f>
        <v>Mobile +</v>
      </c>
      <c r="D16" s="219" t="s">
        <v>0</v>
      </c>
      <c r="E16" s="219" t="str">
        <f>IF(K8&lt;&gt;"",CONCATENATE(K8," -"),"E-")</f>
        <v>Mobile -</v>
      </c>
      <c r="F16" s="219" t="s">
        <v>0</v>
      </c>
      <c r="G16" s="5"/>
      <c r="H16" s="219" t="str">
        <f>C16</f>
        <v>Mobile +</v>
      </c>
      <c r="I16" s="219" t="s">
        <v>0</v>
      </c>
      <c r="J16" s="219" t="str">
        <f>E16</f>
        <v>Mobile -</v>
      </c>
      <c r="K16" s="219" t="s">
        <v>0</v>
      </c>
      <c r="L16" s="5"/>
      <c r="M16" s="219" t="str">
        <f>H16</f>
        <v>Mobile +</v>
      </c>
      <c r="N16" s="219" t="s">
        <v>0</v>
      </c>
      <c r="O16" s="219" t="str">
        <f>J16</f>
        <v>Mobile -</v>
      </c>
      <c r="P16" s="219" t="s">
        <v>0</v>
      </c>
      <c r="R16" s="160"/>
      <c r="S16" s="159"/>
      <c r="T16" s="159"/>
      <c r="U16" s="50">
        <v>0.85316988758446655</v>
      </c>
      <c r="V16" s="50">
        <v>0.77684162476485774</v>
      </c>
      <c r="W16" s="50">
        <v>0.7917968286781486</v>
      </c>
      <c r="X16" s="50">
        <v>0.75059811229182649</v>
      </c>
      <c r="Y16" s="50">
        <v>0.18311368536990827</v>
      </c>
      <c r="Z16" s="50">
        <v>0.20787802942279546</v>
      </c>
      <c r="AA16" s="50">
        <v>0.19294060793112189</v>
      </c>
      <c r="AB16" s="50">
        <v>0.19909555686508779</v>
      </c>
      <c r="AM16" s="54">
        <f t="shared" si="5"/>
        <v>0.23999999999999996</v>
      </c>
      <c r="AN16" s="50">
        <v>1</v>
      </c>
      <c r="AO16" s="50">
        <v>0</v>
      </c>
      <c r="AP16" s="50">
        <v>0</v>
      </c>
      <c r="AQ16" s="50">
        <v>0</v>
      </c>
      <c r="AR16" s="150">
        <f t="shared" si="1"/>
        <v>0.5</v>
      </c>
      <c r="AS16" s="150">
        <f t="shared" si="2"/>
        <v>0</v>
      </c>
      <c r="AT16" s="150">
        <f t="shared" si="3"/>
        <v>0</v>
      </c>
      <c r="AU16" s="150">
        <f t="shared" si="4"/>
        <v>0</v>
      </c>
      <c r="AV16" s="150"/>
    </row>
    <row r="17" spans="2:47" ht="13.5" x14ac:dyDescent="0.35">
      <c r="B17" s="224" t="str">
        <f>IF(K9&lt;&gt;"",CONCATENATE(K9," +"),"D+")</f>
        <v>Melanoma +</v>
      </c>
      <c r="C17" s="230">
        <v>136</v>
      </c>
      <c r="D17" s="12" t="s">
        <v>15</v>
      </c>
      <c r="E17" s="232">
        <v>107</v>
      </c>
      <c r="F17" s="12" t="s">
        <v>17</v>
      </c>
      <c r="H17" s="221">
        <f ca="1">M17-C17</f>
        <v>329.46803465476756</v>
      </c>
      <c r="I17" s="16" t="s">
        <v>21</v>
      </c>
      <c r="J17" s="221">
        <f ca="1">O17-E17</f>
        <v>299.44619711134379</v>
      </c>
      <c r="K17" s="16" t="s">
        <v>24</v>
      </c>
      <c r="L17" s="143"/>
      <c r="M17" s="221">
        <f ca="1">C17/AF3</f>
        <v>465.46803465476756</v>
      </c>
      <c r="N17" s="16" t="s">
        <v>27</v>
      </c>
      <c r="O17" s="221">
        <f ca="1">E17/AF5</f>
        <v>406.44619711134379</v>
      </c>
      <c r="P17" s="16" t="s">
        <v>30</v>
      </c>
      <c r="R17" s="158"/>
      <c r="S17" s="5"/>
      <c r="U17" s="50">
        <v>0.76638228437232181</v>
      </c>
      <c r="V17" s="50">
        <v>0.67633097139397702</v>
      </c>
      <c r="W17" s="50">
        <v>0.71510738192763001</v>
      </c>
      <c r="X17" s="50">
        <v>0.61464752881236062</v>
      </c>
      <c r="Y17" s="50">
        <v>0.33236571305503004</v>
      </c>
      <c r="Z17" s="50">
        <v>0.27978088062663298</v>
      </c>
      <c r="AA17" s="50">
        <v>0.31247835891732445</v>
      </c>
      <c r="AB17" s="50">
        <v>0.2746281886035008</v>
      </c>
      <c r="AM17" s="54">
        <f t="shared" si="5"/>
        <v>0.25999999999999995</v>
      </c>
      <c r="AN17" s="50">
        <v>0</v>
      </c>
      <c r="AO17" s="50">
        <v>0</v>
      </c>
      <c r="AP17" s="50">
        <v>0</v>
      </c>
      <c r="AQ17" s="50">
        <v>1</v>
      </c>
      <c r="AR17" s="150">
        <f t="shared" si="1"/>
        <v>0</v>
      </c>
      <c r="AS17" s="150">
        <f t="shared" si="2"/>
        <v>0</v>
      </c>
      <c r="AT17" s="150">
        <f t="shared" si="3"/>
        <v>0</v>
      </c>
      <c r="AU17" s="150">
        <f t="shared" si="4"/>
        <v>0.5</v>
      </c>
    </row>
    <row r="18" spans="2:47" ht="14" customHeight="1" x14ac:dyDescent="0.3">
      <c r="B18" s="224"/>
      <c r="C18" s="231"/>
      <c r="D18" s="13"/>
      <c r="E18" s="231"/>
      <c r="F18" s="12"/>
      <c r="G18" s="143"/>
      <c r="H18" s="222"/>
      <c r="I18" s="16"/>
      <c r="J18" s="222"/>
      <c r="K18" s="16"/>
      <c r="L18" s="143"/>
      <c r="M18" s="222"/>
      <c r="N18" s="16"/>
      <c r="O18" s="222"/>
      <c r="P18" s="16"/>
      <c r="R18" s="5"/>
      <c r="U18" s="50">
        <v>0.47854854134583064</v>
      </c>
      <c r="V18" s="50">
        <v>0.29268374463655528</v>
      </c>
      <c r="W18" s="50">
        <v>0.49385701482705113</v>
      </c>
      <c r="X18" s="50">
        <v>0.36241782635088649</v>
      </c>
      <c r="Y18" s="50">
        <v>0.3468299389304354</v>
      </c>
      <c r="Z18" s="50">
        <v>0.26997116134396976</v>
      </c>
      <c r="AA18" s="50">
        <v>0.17558264159271592</v>
      </c>
      <c r="AB18" s="50">
        <v>0.3297360238548479</v>
      </c>
      <c r="AM18" s="54">
        <f t="shared" si="5"/>
        <v>0.27999999999999997</v>
      </c>
      <c r="AN18" s="50">
        <v>0</v>
      </c>
      <c r="AO18" s="50">
        <v>0</v>
      </c>
      <c r="AP18" s="50">
        <v>0</v>
      </c>
      <c r="AQ18" s="50">
        <v>0</v>
      </c>
      <c r="AR18" s="150">
        <f t="shared" si="1"/>
        <v>0</v>
      </c>
      <c r="AS18" s="150">
        <f t="shared" si="2"/>
        <v>0</v>
      </c>
      <c r="AT18" s="150">
        <f t="shared" si="3"/>
        <v>0</v>
      </c>
      <c r="AU18" s="150">
        <f t="shared" si="4"/>
        <v>0</v>
      </c>
    </row>
    <row r="19" spans="2:47" ht="14.25" customHeight="1" x14ac:dyDescent="0.35">
      <c r="B19" s="224" t="str">
        <f>IF(K9&lt;&gt;"",CONCATENATE(K9," -"),"D-")</f>
        <v>Melanoma -</v>
      </c>
      <c r="C19" s="225">
        <v>297</v>
      </c>
      <c r="D19" s="14" t="s">
        <v>16</v>
      </c>
      <c r="E19" s="225">
        <v>165</v>
      </c>
      <c r="F19" s="14" t="s">
        <v>18</v>
      </c>
      <c r="H19" s="227">
        <f ca="1">M19-C19</f>
        <v>553.11659073924545</v>
      </c>
      <c r="I19" s="17" t="s">
        <v>22</v>
      </c>
      <c r="J19" s="227">
        <f ca="1">O19-E19</f>
        <v>442.90238400108194</v>
      </c>
      <c r="K19" s="17" t="s">
        <v>25</v>
      </c>
      <c r="L19" s="143"/>
      <c r="M19" s="227">
        <f ca="1">C19/AF4</f>
        <v>850.11659073924545</v>
      </c>
      <c r="N19" s="17" t="s">
        <v>28</v>
      </c>
      <c r="O19" s="227">
        <f ca="1">E19/AF6</f>
        <v>607.90238400108194</v>
      </c>
      <c r="P19" s="17" t="s">
        <v>31</v>
      </c>
      <c r="S19" s="149"/>
      <c r="U19" s="50">
        <v>0.82356248968161871</v>
      </c>
      <c r="V19" s="50">
        <v>0.7538280853796715</v>
      </c>
      <c r="W19" s="50">
        <v>0.72979376624646342</v>
      </c>
      <c r="X19" s="50">
        <v>0.89227399513145123</v>
      </c>
      <c r="Y19" s="50">
        <v>0.26354328276157829</v>
      </c>
      <c r="Z19" s="50">
        <v>0.22747080613632786</v>
      </c>
      <c r="AA19" s="50">
        <v>0.32037478504626582</v>
      </c>
      <c r="AB19" s="50">
        <v>0.25902540108876704</v>
      </c>
      <c r="AM19" s="54">
        <f t="shared" si="5"/>
        <v>0.3</v>
      </c>
      <c r="AN19" s="50">
        <v>0</v>
      </c>
      <c r="AO19" s="50">
        <v>0</v>
      </c>
      <c r="AP19" s="50">
        <v>0</v>
      </c>
      <c r="AQ19" s="50">
        <v>1</v>
      </c>
      <c r="AR19" s="150">
        <f t="shared" si="1"/>
        <v>0</v>
      </c>
      <c r="AS19" s="150">
        <f t="shared" si="2"/>
        <v>0</v>
      </c>
      <c r="AT19" s="150">
        <f t="shared" si="3"/>
        <v>0</v>
      </c>
      <c r="AU19" s="150">
        <f t="shared" si="4"/>
        <v>0.5</v>
      </c>
    </row>
    <row r="20" spans="2:47" ht="12.75" customHeight="1" thickBot="1" x14ac:dyDescent="0.35">
      <c r="B20" s="224"/>
      <c r="C20" s="226"/>
      <c r="D20" s="15"/>
      <c r="E20" s="226"/>
      <c r="F20" s="15"/>
      <c r="G20" s="143"/>
      <c r="H20" s="228"/>
      <c r="I20" s="18"/>
      <c r="J20" s="228"/>
      <c r="K20" s="18"/>
      <c r="L20" s="143"/>
      <c r="M20" s="228"/>
      <c r="N20" s="18"/>
      <c r="O20" s="228"/>
      <c r="P20" s="18"/>
      <c r="R20" s="70"/>
      <c r="S20" s="149"/>
      <c r="U20" s="50">
        <v>0.47959105316290002</v>
      </c>
      <c r="V20" s="50">
        <v>0.3686291919923429</v>
      </c>
      <c r="W20" s="50">
        <v>0.48958958794986202</v>
      </c>
      <c r="X20" s="50">
        <v>0.37174605271929284</v>
      </c>
      <c r="Y20" s="50">
        <v>0.31212361784514731</v>
      </c>
      <c r="Z20" s="50">
        <v>0.14533598267622511</v>
      </c>
      <c r="AA20" s="50">
        <v>0.32241358392857977</v>
      </c>
      <c r="AB20" s="50">
        <v>0.28757607484449788</v>
      </c>
      <c r="AM20" s="54">
        <f t="shared" si="5"/>
        <v>0.32</v>
      </c>
      <c r="AN20" s="50">
        <v>0</v>
      </c>
      <c r="AO20" s="50">
        <v>0</v>
      </c>
      <c r="AP20" s="50">
        <v>0</v>
      </c>
      <c r="AQ20" s="50">
        <v>0</v>
      </c>
      <c r="AR20" s="150">
        <f t="shared" si="1"/>
        <v>0</v>
      </c>
      <c r="AS20" s="150">
        <f t="shared" si="2"/>
        <v>0</v>
      </c>
      <c r="AT20" s="150">
        <f t="shared" si="3"/>
        <v>0</v>
      </c>
      <c r="AU20" s="150">
        <f t="shared" si="4"/>
        <v>0</v>
      </c>
    </row>
    <row r="21" spans="2:47" ht="12.75" customHeight="1" x14ac:dyDescent="0.35">
      <c r="B21" s="224" t="s">
        <v>1</v>
      </c>
      <c r="C21" s="233">
        <f>SUM(C17:C20)</f>
        <v>433</v>
      </c>
      <c r="D21" s="16" t="s">
        <v>20</v>
      </c>
      <c r="E21" s="233">
        <f>SUM(E17:E20)</f>
        <v>272</v>
      </c>
      <c r="F21" s="16" t="s">
        <v>19</v>
      </c>
      <c r="G21" s="143"/>
      <c r="H21" s="221">
        <f ca="1">M21-C21</f>
        <v>882.58462539401307</v>
      </c>
      <c r="I21" s="16" t="s">
        <v>23</v>
      </c>
      <c r="J21" s="221">
        <f ca="1">O21-E21</f>
        <v>742.34858111242579</v>
      </c>
      <c r="K21" s="16" t="s">
        <v>26</v>
      </c>
      <c r="L21" s="143"/>
      <c r="M21" s="221">
        <f ca="1">M17+M19</f>
        <v>1315.5846253940131</v>
      </c>
      <c r="N21" s="16" t="s">
        <v>29</v>
      </c>
      <c r="O21" s="221">
        <f ca="1">O17+O19</f>
        <v>1014.3485811124258</v>
      </c>
      <c r="P21" s="16" t="s">
        <v>32</v>
      </c>
      <c r="R21" s="70"/>
      <c r="S21" s="149"/>
      <c r="U21" s="50">
        <v>0.85022008545514027</v>
      </c>
      <c r="V21" s="50">
        <v>0.79946523354106203</v>
      </c>
      <c r="W21" s="50">
        <v>0.87286429912483032</v>
      </c>
      <c r="X21" s="50">
        <v>0.70336976071542601</v>
      </c>
      <c r="Y21" s="50">
        <v>0.29236817489988975</v>
      </c>
      <c r="Z21" s="50">
        <v>0.21635733539823038</v>
      </c>
      <c r="AA21" s="50">
        <v>0.30054564023001212</v>
      </c>
      <c r="AB21" s="50">
        <v>0.19644229676395697</v>
      </c>
      <c r="AM21" s="54">
        <f t="shared" si="5"/>
        <v>0.34</v>
      </c>
      <c r="AN21" s="50">
        <v>0</v>
      </c>
      <c r="AO21" s="50">
        <v>0</v>
      </c>
      <c r="AP21" s="50">
        <v>0</v>
      </c>
      <c r="AQ21" s="50">
        <v>0</v>
      </c>
      <c r="AR21" s="150">
        <f t="shared" si="1"/>
        <v>0</v>
      </c>
      <c r="AS21" s="150">
        <f t="shared" si="2"/>
        <v>0</v>
      </c>
      <c r="AT21" s="150">
        <f t="shared" si="3"/>
        <v>0</v>
      </c>
      <c r="AU21" s="150">
        <f t="shared" si="4"/>
        <v>0</v>
      </c>
    </row>
    <row r="22" spans="2:47" ht="13" customHeight="1" x14ac:dyDescent="0.3">
      <c r="B22" s="224"/>
      <c r="C22" s="234"/>
      <c r="D22" s="8"/>
      <c r="E22" s="234"/>
      <c r="F22" s="8"/>
      <c r="G22" s="149"/>
      <c r="H22" s="222"/>
      <c r="I22" s="132"/>
      <c r="J22" s="222"/>
      <c r="K22" s="132"/>
      <c r="M22" s="222"/>
      <c r="N22" s="132"/>
      <c r="O22" s="222"/>
      <c r="P22" s="132"/>
      <c r="R22" s="70"/>
      <c r="S22" s="149"/>
      <c r="U22" s="50">
        <v>0.59153816690268879</v>
      </c>
      <c r="V22" s="50">
        <v>0.41808260152524734</v>
      </c>
      <c r="W22" s="50">
        <v>0.60215734915125141</v>
      </c>
      <c r="X22" s="50">
        <v>0.47709968071359027</v>
      </c>
      <c r="Y22" s="50">
        <v>0.22706009451218609</v>
      </c>
      <c r="Z22" s="50">
        <v>0.21056932844748386</v>
      </c>
      <c r="AA22" s="50">
        <v>0.1620514895217656</v>
      </c>
      <c r="AB22" s="50">
        <v>0.2538211782772602</v>
      </c>
      <c r="AM22" s="54">
        <f t="shared" si="5"/>
        <v>0.36000000000000004</v>
      </c>
      <c r="AN22" s="50">
        <v>0</v>
      </c>
      <c r="AO22" s="50">
        <v>0</v>
      </c>
      <c r="AP22" s="50">
        <v>0</v>
      </c>
      <c r="AQ22" s="50">
        <v>0</v>
      </c>
      <c r="AR22" s="150">
        <f t="shared" si="1"/>
        <v>0</v>
      </c>
      <c r="AS22" s="150">
        <f t="shared" si="2"/>
        <v>0</v>
      </c>
      <c r="AT22" s="150">
        <f t="shared" si="3"/>
        <v>0</v>
      </c>
      <c r="AU22" s="150">
        <f t="shared" si="4"/>
        <v>0</v>
      </c>
    </row>
    <row r="23" spans="2:47" ht="12.75" customHeight="1" x14ac:dyDescent="0.3">
      <c r="H23" s="235">
        <f ca="1">H21+J21</f>
        <v>1624.9332065064389</v>
      </c>
      <c r="I23" s="236"/>
      <c r="J23" s="236"/>
      <c r="K23" s="236"/>
      <c r="M23" s="280">
        <f ca="1">M21+O21</f>
        <v>2329.9332065064391</v>
      </c>
      <c r="N23" s="280"/>
      <c r="O23" s="280"/>
      <c r="P23" s="280"/>
      <c r="R23" s="70"/>
      <c r="S23" s="20"/>
      <c r="U23" s="50">
        <v>0.59783264050353457</v>
      </c>
      <c r="V23" s="50">
        <v>0.42031116556394305</v>
      </c>
      <c r="W23" s="50">
        <v>0.64153620988557425</v>
      </c>
      <c r="X23" s="50">
        <v>0.51766217846557572</v>
      </c>
      <c r="Y23" s="50">
        <v>0.17815355676969091</v>
      </c>
      <c r="Z23" s="50">
        <v>0.1717339330029487</v>
      </c>
      <c r="AA23" s="50">
        <v>0.17479886065184885</v>
      </c>
      <c r="AB23" s="50">
        <v>0.28308177805332663</v>
      </c>
      <c r="AM23" s="54">
        <f t="shared" si="5"/>
        <v>0.38000000000000006</v>
      </c>
      <c r="AN23" s="50">
        <v>0</v>
      </c>
      <c r="AO23" s="50">
        <v>0</v>
      </c>
      <c r="AP23" s="50">
        <v>0</v>
      </c>
      <c r="AQ23" s="50">
        <v>0</v>
      </c>
      <c r="AR23" s="150">
        <f t="shared" si="1"/>
        <v>0</v>
      </c>
      <c r="AS23" s="150">
        <f t="shared" si="2"/>
        <v>0</v>
      </c>
      <c r="AT23" s="150">
        <f t="shared" si="3"/>
        <v>0</v>
      </c>
      <c r="AU23" s="150">
        <f t="shared" si="4"/>
        <v>0</v>
      </c>
    </row>
    <row r="24" spans="2:47" ht="15" customHeight="1" x14ac:dyDescent="0.3">
      <c r="B24" s="238" t="str">
        <f>IF(I13&lt;&gt;"",IF(I14&lt;&gt;"",CONCATENATE("Crude and Adjusted Measures of ",I13,"-",I14," Relationship"),"Crude and Adjusted Measures"),"Crude and Adjusted Measures")</f>
        <v>Crude and Adjusted Measures</v>
      </c>
      <c r="C24" s="238"/>
      <c r="D24" s="238"/>
      <c r="E24" s="238"/>
      <c r="F24" s="238"/>
      <c r="G24" s="238"/>
      <c r="H24" s="238"/>
      <c r="I24" s="238"/>
      <c r="J24" s="238"/>
      <c r="K24" s="238"/>
      <c r="L24" s="238"/>
      <c r="M24" s="238"/>
      <c r="N24" s="238"/>
      <c r="O24" s="238"/>
      <c r="P24" s="238"/>
      <c r="Q24" s="238"/>
      <c r="R24" s="238"/>
      <c r="X24" s="50"/>
      <c r="Y24" s="50"/>
      <c r="Z24" s="50"/>
      <c r="AA24" s="50"/>
      <c r="AB24" s="50"/>
      <c r="AM24" s="54">
        <f t="shared" si="5"/>
        <v>0.40000000000000008</v>
      </c>
      <c r="AN24" s="50">
        <v>0</v>
      </c>
      <c r="AO24" s="50">
        <v>0</v>
      </c>
      <c r="AP24" s="50">
        <v>0</v>
      </c>
      <c r="AQ24" s="50">
        <v>0</v>
      </c>
      <c r="AR24" s="150">
        <f t="shared" si="1"/>
        <v>0</v>
      </c>
      <c r="AS24" s="150">
        <f t="shared" si="2"/>
        <v>0</v>
      </c>
      <c r="AT24" s="150">
        <f t="shared" si="3"/>
        <v>0</v>
      </c>
      <c r="AU24" s="150">
        <f t="shared" si="4"/>
        <v>0</v>
      </c>
    </row>
    <row r="25" spans="2:47" ht="12.75" customHeight="1" x14ac:dyDescent="0.3">
      <c r="B25" s="9" t="s">
        <v>6</v>
      </c>
      <c r="C25" s="213" t="s">
        <v>4</v>
      </c>
      <c r="D25" s="213"/>
      <c r="E25" s="213"/>
      <c r="F25" s="213"/>
      <c r="G25" s="31"/>
      <c r="I25" s="213" t="s">
        <v>166</v>
      </c>
      <c r="J25" s="213"/>
      <c r="K25" s="213"/>
      <c r="L25" s="213"/>
      <c r="N25" s="46" t="s">
        <v>64</v>
      </c>
      <c r="O25" s="46"/>
      <c r="P25" s="46"/>
      <c r="Q25" s="46"/>
      <c r="R25" s="157"/>
      <c r="X25" s="50"/>
      <c r="Y25" s="50"/>
      <c r="Z25" s="50"/>
      <c r="AA25" s="50"/>
      <c r="AB25" s="50"/>
      <c r="AM25" s="54">
        <f t="shared" si="5"/>
        <v>0.4200000000000001</v>
      </c>
      <c r="AN25" s="50">
        <v>0</v>
      </c>
      <c r="AO25" s="50">
        <v>0</v>
      </c>
      <c r="AP25" s="50">
        <v>0</v>
      </c>
      <c r="AQ25" s="50">
        <v>0</v>
      </c>
      <c r="AR25" s="150">
        <f t="shared" si="1"/>
        <v>0</v>
      </c>
      <c r="AS25" s="150">
        <f t="shared" si="2"/>
        <v>0</v>
      </c>
      <c r="AT25" s="150">
        <f t="shared" si="3"/>
        <v>0</v>
      </c>
      <c r="AU25" s="150">
        <f t="shared" si="4"/>
        <v>0</v>
      </c>
    </row>
    <row r="26" spans="2:47" ht="12.75" customHeight="1" x14ac:dyDescent="0.3">
      <c r="B26" s="1" t="str">
        <f>IF(I13&lt;&gt;"",IF(I14&lt;&gt;"",CONCATENATE("RR (",I13,"-",I14,")"),"RR (ED)"),"RR (ED)")</f>
        <v>RR (ED)</v>
      </c>
      <c r="C26" s="240" t="str">
        <f>CONCATENATE(ROUND((C17/C21)/(E17/E21),2)," (",ROUND(EXP(LN((C17/C21)/(E17/E21))-1.96*W5),2)," - ",ROUND(EXP(LN((C17/C21)/(E17/E21))+1.96*W5),2),")")</f>
        <v>0.8 (0.65 - 0.98)</v>
      </c>
      <c r="D26" s="240"/>
      <c r="E26" s="240"/>
      <c r="F26" s="240"/>
      <c r="G26" s="154"/>
      <c r="H26" s="1" t="str">
        <f>IF(I13&lt;&gt;"",IF(I14&lt;&gt;"",CONCATENATE("RR (",I13,"-",I14,")"),"RR (ED)"),"RR (ED)")</f>
        <v>RR (ED)</v>
      </c>
      <c r="J26" s="131">
        <f ca="1">(M17/M21)/(O17/O21)</f>
        <v>0.8829888792742171</v>
      </c>
      <c r="K26" s="149"/>
      <c r="L26" s="149" t="str">
        <f>IF(OR(I18="",I20="",K18="",K20="",N18="",N20="",P18="",P20=""),"",C18/((I22*K18/K22)+(N22*P18/P22)))</f>
        <v/>
      </c>
      <c r="N26" s="70" t="s">
        <v>146</v>
      </c>
      <c r="O26" s="156">
        <f ca="1">AF3</f>
        <v>0.29217903244606191</v>
      </c>
      <c r="Q26" s="70" t="s">
        <v>145</v>
      </c>
      <c r="R26" s="156">
        <f ca="1">AF5</f>
        <v>0.26325747604593264</v>
      </c>
      <c r="X26" s="50"/>
      <c r="Y26" s="50"/>
      <c r="Z26" s="50"/>
      <c r="AA26" s="50"/>
      <c r="AB26" s="50"/>
      <c r="AM26" s="54">
        <f t="shared" si="5"/>
        <v>0.44000000000000011</v>
      </c>
      <c r="AN26" s="50">
        <v>0</v>
      </c>
      <c r="AO26" s="50">
        <v>0</v>
      </c>
      <c r="AP26" s="50">
        <v>0</v>
      </c>
      <c r="AQ26" s="50">
        <v>0</v>
      </c>
      <c r="AR26" s="150">
        <f t="shared" si="1"/>
        <v>0</v>
      </c>
      <c r="AS26" s="150">
        <f t="shared" si="2"/>
        <v>0</v>
      </c>
      <c r="AT26" s="150">
        <f t="shared" si="3"/>
        <v>0</v>
      </c>
      <c r="AU26" s="150">
        <f t="shared" si="4"/>
        <v>0</v>
      </c>
    </row>
    <row r="27" spans="2:47" ht="12.75" customHeight="1" x14ac:dyDescent="0.3">
      <c r="B27" s="1" t="str">
        <f>IF(I13&lt;&gt;"",IF(I14&lt;&gt;"",CONCATENATE("OR (",I13,"-",I14,")"),"OR (ED)"),"OR (ED)")</f>
        <v>OR (ED)</v>
      </c>
      <c r="C27" s="240" t="str">
        <f>CONCATENATE(ROUND((C17/C19)/(E17/E19),2)," (",ROUND(EXP(LN((C17/C19)/(E17/E19))-1.96*W5),2)," - ",ROUND(EXP(LN((C17/C19)/(E17/E19))+1.96*W5),2),")")</f>
        <v>0.71 (0.58 - 0.86)</v>
      </c>
      <c r="D27" s="240"/>
      <c r="E27" s="240"/>
      <c r="F27" s="240"/>
      <c r="G27" s="154"/>
      <c r="H27" s="1" t="str">
        <f>IF(I13&lt;&gt;"",IF(I14&lt;&gt;"",CONCATENATE("OR (",I13,"-",I14,")"),"OR (ED)"),"OR (ED)")</f>
        <v>OR (ED)</v>
      </c>
      <c r="J27" s="131">
        <f ca="1">(M17/M19)/(O17/O19)</f>
        <v>0.81892127138337445</v>
      </c>
      <c r="K27" s="149"/>
      <c r="L27" s="149" t="str">
        <f>IF(OR(I18="",I20="",K18="",K20="",N18="",N20="",P18="",P20=""),"",C18/((I20*K18/K20)+(N20*P18/P20)))</f>
        <v/>
      </c>
      <c r="N27" s="70" t="s">
        <v>144</v>
      </c>
      <c r="O27" s="156">
        <f ca="1">AF4</f>
        <v>0.34936384401313042</v>
      </c>
      <c r="Q27" s="70" t="s">
        <v>143</v>
      </c>
      <c r="R27" s="156">
        <f ca="1">AF6</f>
        <v>0.27142515697011371</v>
      </c>
      <c r="X27" s="50"/>
      <c r="Y27" s="50"/>
      <c r="Z27" s="50"/>
      <c r="AA27" s="50"/>
      <c r="AB27" s="50"/>
      <c r="AM27" s="54">
        <f t="shared" si="5"/>
        <v>0.46000000000000013</v>
      </c>
      <c r="AN27" s="50">
        <v>0</v>
      </c>
      <c r="AO27" s="50">
        <v>0</v>
      </c>
      <c r="AP27" s="50">
        <v>0</v>
      </c>
      <c r="AQ27" s="50">
        <v>0</v>
      </c>
      <c r="AR27" s="150">
        <f t="shared" si="1"/>
        <v>0</v>
      </c>
      <c r="AS27" s="150">
        <f t="shared" si="2"/>
        <v>0</v>
      </c>
      <c r="AT27" s="150">
        <f t="shared" si="3"/>
        <v>0</v>
      </c>
      <c r="AU27" s="150">
        <f t="shared" si="4"/>
        <v>0</v>
      </c>
    </row>
    <row r="28" spans="2:47" ht="13" x14ac:dyDescent="0.3">
      <c r="B28" s="20"/>
      <c r="C28" s="20"/>
      <c r="D28" s="20"/>
      <c r="H28" s="20"/>
      <c r="I28" s="20"/>
      <c r="J28" s="20"/>
      <c r="S28" s="31"/>
      <c r="T28" s="31"/>
      <c r="X28" s="50"/>
      <c r="Y28" s="50"/>
      <c r="Z28" s="50"/>
      <c r="AA28" s="50"/>
      <c r="AB28" s="50"/>
      <c r="AM28" s="54">
        <f t="shared" si="5"/>
        <v>0.48000000000000015</v>
      </c>
      <c r="AN28" s="50">
        <v>0</v>
      </c>
      <c r="AO28" s="50">
        <v>0</v>
      </c>
      <c r="AP28" s="50">
        <v>0</v>
      </c>
      <c r="AQ28" s="50">
        <v>0</v>
      </c>
      <c r="AR28" s="150">
        <f t="shared" si="1"/>
        <v>0</v>
      </c>
      <c r="AS28" s="150">
        <f t="shared" si="2"/>
        <v>0</v>
      </c>
      <c r="AT28" s="150">
        <f t="shared" si="3"/>
        <v>0</v>
      </c>
      <c r="AU28" s="150">
        <f t="shared" si="4"/>
        <v>0</v>
      </c>
    </row>
    <row r="29" spans="2:47" ht="13" x14ac:dyDescent="0.3">
      <c r="B29" s="241" t="str">
        <f>CONCATENATE(IF(I13&lt;&gt;"",IF(I14&lt;&gt;"",CONCATENATE(I13,"-",I14," Relationship "),"Results "),"Results "),IF(C14&lt;&gt;"",CONCATENATE("Adjusted for ",C14),"Adjusted for Unmeasured Confounder"))</f>
        <v>Results Adjusted for Unmeasured Confounder</v>
      </c>
      <c r="C29" s="241"/>
      <c r="D29" s="241"/>
      <c r="E29" s="241"/>
      <c r="F29" s="241"/>
      <c r="G29" s="241"/>
      <c r="H29" s="241"/>
      <c r="I29" s="241"/>
      <c r="J29" s="241"/>
      <c r="K29" s="241"/>
      <c r="L29" s="241"/>
      <c r="M29" s="241"/>
      <c r="N29" s="241"/>
      <c r="O29" s="241"/>
      <c r="P29" s="241"/>
      <c r="Q29" s="241"/>
      <c r="R29" s="35"/>
      <c r="S29" s="31"/>
      <c r="T29" s="31"/>
      <c r="X29" s="50"/>
      <c r="Y29" s="50"/>
      <c r="Z29" s="50"/>
      <c r="AA29" s="50"/>
      <c r="AB29" s="50"/>
      <c r="AM29" s="54">
        <f t="shared" si="5"/>
        <v>0.50000000000000011</v>
      </c>
      <c r="AN29" s="50">
        <v>0</v>
      </c>
      <c r="AO29" s="50">
        <v>0</v>
      </c>
      <c r="AP29" s="50">
        <v>0</v>
      </c>
      <c r="AQ29" s="50">
        <v>0</v>
      </c>
      <c r="AR29" s="150">
        <f t="shared" si="1"/>
        <v>0</v>
      </c>
      <c r="AS29" s="150">
        <f t="shared" si="2"/>
        <v>0</v>
      </c>
      <c r="AT29" s="150">
        <f t="shared" si="3"/>
        <v>0</v>
      </c>
      <c r="AU29" s="150">
        <f t="shared" si="4"/>
        <v>0</v>
      </c>
    </row>
    <row r="30" spans="2:47" ht="13" x14ac:dyDescent="0.3">
      <c r="B30" s="153"/>
      <c r="C30" s="153"/>
      <c r="D30" s="153"/>
      <c r="E30" s="153"/>
      <c r="F30" s="155"/>
      <c r="G30" s="155"/>
      <c r="H30" s="155"/>
      <c r="I30" s="155"/>
      <c r="J30" s="153"/>
      <c r="K30" s="153"/>
      <c r="L30" s="155"/>
      <c r="M30" s="155"/>
      <c r="N30" s="155"/>
      <c r="O30" s="153"/>
      <c r="P30" s="153"/>
      <c r="Q30" s="153"/>
      <c r="S30" s="154"/>
      <c r="T30" s="154"/>
      <c r="X30" s="50"/>
      <c r="Y30" s="50"/>
      <c r="Z30" s="50"/>
      <c r="AA30" s="50"/>
      <c r="AB30" s="50"/>
      <c r="AM30" s="54">
        <f t="shared" si="5"/>
        <v>0.52000000000000013</v>
      </c>
      <c r="AN30" s="50">
        <v>0</v>
      </c>
      <c r="AO30" s="50">
        <v>0</v>
      </c>
      <c r="AP30" s="50">
        <v>0</v>
      </c>
      <c r="AQ30" s="50">
        <v>0</v>
      </c>
      <c r="AR30" s="150">
        <f t="shared" si="1"/>
        <v>0</v>
      </c>
      <c r="AS30" s="150">
        <f t="shared" si="2"/>
        <v>0</v>
      </c>
      <c r="AT30" s="150">
        <f t="shared" si="3"/>
        <v>0</v>
      </c>
      <c r="AU30" s="150">
        <f t="shared" si="4"/>
        <v>0</v>
      </c>
    </row>
    <row r="31" spans="2:47" ht="13" customHeight="1" x14ac:dyDescent="0.3">
      <c r="B31" s="241" t="str">
        <f>CONCATENATE("RR Simulation Results (N=",COUNT(W14:W49998),")")</f>
        <v>RR Simulation Results (N=10)</v>
      </c>
      <c r="C31" s="241"/>
      <c r="D31" s="241"/>
      <c r="E31" s="241"/>
      <c r="F31" s="241"/>
      <c r="G31" s="241"/>
      <c r="I31" s="241" t="str">
        <f>CONCATENATE("OR Simulation Results (N=",COUNT(X14:X49998),")")</f>
        <v>OR Simulation Results (N=10)</v>
      </c>
      <c r="J31" s="241"/>
      <c r="K31" s="241"/>
      <c r="L31" s="241"/>
      <c r="M31" s="241"/>
      <c r="N31" s="241"/>
      <c r="O31" s="1"/>
      <c r="P31" s="242" t="s">
        <v>177</v>
      </c>
      <c r="Q31" s="242"/>
      <c r="S31" s="154"/>
      <c r="T31" s="154"/>
      <c r="X31" s="50"/>
      <c r="Y31" s="50"/>
      <c r="Z31" s="50"/>
      <c r="AA31" s="50"/>
      <c r="AB31" s="50"/>
      <c r="AM31" s="54">
        <f t="shared" si="5"/>
        <v>0.54000000000000015</v>
      </c>
      <c r="AN31" s="50">
        <v>0</v>
      </c>
      <c r="AO31" s="50">
        <v>0</v>
      </c>
      <c r="AP31" s="50">
        <v>0</v>
      </c>
      <c r="AQ31" s="50">
        <v>0</v>
      </c>
      <c r="AR31" s="150">
        <f t="shared" si="1"/>
        <v>0</v>
      </c>
      <c r="AS31" s="150">
        <f t="shared" si="2"/>
        <v>0</v>
      </c>
      <c r="AT31" s="150">
        <f t="shared" si="3"/>
        <v>0</v>
      </c>
      <c r="AU31" s="150">
        <f t="shared" si="4"/>
        <v>0</v>
      </c>
    </row>
    <row r="32" spans="2:47" ht="15" x14ac:dyDescent="0.3">
      <c r="B32" s="35" t="s">
        <v>68</v>
      </c>
      <c r="C32" s="241" t="s">
        <v>69</v>
      </c>
      <c r="D32" s="241"/>
      <c r="E32" s="241"/>
      <c r="F32" s="241"/>
      <c r="G32" s="241"/>
      <c r="I32" s="35" t="s">
        <v>68</v>
      </c>
      <c r="J32" s="241" t="s">
        <v>69</v>
      </c>
      <c r="K32" s="241"/>
      <c r="L32" s="241"/>
      <c r="M32" s="241"/>
      <c r="N32" s="241"/>
      <c r="P32" s="243"/>
      <c r="Q32" s="243"/>
      <c r="X32" s="50"/>
      <c r="Y32" s="50"/>
      <c r="Z32" s="50"/>
      <c r="AA32" s="50"/>
      <c r="AB32" s="50"/>
      <c r="AM32" s="54">
        <f t="shared" si="5"/>
        <v>0.56000000000000016</v>
      </c>
      <c r="AN32" s="50">
        <v>0</v>
      </c>
      <c r="AO32" s="50">
        <v>0</v>
      </c>
      <c r="AP32" s="50">
        <v>0</v>
      </c>
      <c r="AQ32" s="50">
        <v>0</v>
      </c>
      <c r="AR32" s="150">
        <f t="shared" si="1"/>
        <v>0</v>
      </c>
      <c r="AS32" s="150">
        <f t="shared" si="2"/>
        <v>0</v>
      </c>
      <c r="AT32" s="150">
        <f t="shared" si="3"/>
        <v>0</v>
      </c>
      <c r="AU32" s="150">
        <f t="shared" si="4"/>
        <v>0</v>
      </c>
    </row>
    <row r="33" spans="2:47" ht="13.5" customHeight="1" x14ac:dyDescent="0.3">
      <c r="B33" s="1" t="s">
        <v>65</v>
      </c>
      <c r="C33" s="245" t="str">
        <f>C26</f>
        <v>0.8 (0.65 - 0.98)</v>
      </c>
      <c r="D33" s="246"/>
      <c r="E33" s="246"/>
      <c r="F33" s="246"/>
      <c r="G33" s="246"/>
      <c r="I33" s="1" t="s">
        <v>65</v>
      </c>
      <c r="J33" s="154"/>
      <c r="K33" s="245" t="str">
        <f>C27</f>
        <v>0.71 (0.58 - 0.86)</v>
      </c>
      <c r="L33" s="246"/>
      <c r="M33" s="246"/>
      <c r="N33" s="246"/>
      <c r="P33" s="249">
        <f>IF(COUNTA(X14:X399991)&gt;0,K10-COUNT(X14:X49998),"")</f>
        <v>0</v>
      </c>
      <c r="Q33" s="249"/>
      <c r="X33" s="50"/>
      <c r="Y33" s="50"/>
      <c r="Z33" s="50"/>
      <c r="AA33" s="50"/>
      <c r="AB33" s="50"/>
      <c r="AM33" s="54">
        <f t="shared" si="5"/>
        <v>0.58000000000000018</v>
      </c>
      <c r="AN33" s="50">
        <v>0</v>
      </c>
      <c r="AO33" s="50">
        <v>0</v>
      </c>
      <c r="AP33" s="50">
        <v>0</v>
      </c>
      <c r="AQ33" s="50">
        <v>0</v>
      </c>
      <c r="AR33" s="150">
        <f t="shared" si="1"/>
        <v>0</v>
      </c>
      <c r="AS33" s="150">
        <f t="shared" si="2"/>
        <v>0</v>
      </c>
      <c r="AT33" s="150">
        <f t="shared" si="3"/>
        <v>0</v>
      </c>
      <c r="AU33" s="150">
        <f t="shared" si="4"/>
        <v>0</v>
      </c>
    </row>
    <row r="34" spans="2:47" ht="13" x14ac:dyDescent="0.3">
      <c r="B34" s="1" t="s">
        <v>66</v>
      </c>
      <c r="C34" s="247" t="str">
        <f>IF(COUNTA(U14:U399991)&gt;0,CONCATENATE(ROUND(PERCENTILE(U14:U50008,0.5),2)," (",ROUND(PERCENTILE(U14:U50008,0.025),2)," - ",ROUND(PERCENTILE(U14:U50008,0.975),2),")"),"")</f>
        <v>0.59 (0.45 - 0.85)</v>
      </c>
      <c r="D34" s="247"/>
      <c r="E34" s="247"/>
      <c r="F34" s="247"/>
      <c r="G34" s="247"/>
      <c r="I34" s="1" t="s">
        <v>66</v>
      </c>
      <c r="J34" s="154"/>
      <c r="K34" s="247" t="str">
        <f>IF(COUNTA(V14:V399991)&gt;0,CONCATENATE(ROUND(PERCENTILE(V14:V50008,0.5),2)," (",ROUND(PERCENTILE(V14:V50008,0.025),2)," - ",ROUND(PERCENTILE(V14:V50008,0.975),2),")"),"")</f>
        <v>0.44 (0.26 - 0.79)</v>
      </c>
      <c r="L34" s="247"/>
      <c r="M34" s="247"/>
      <c r="N34" s="247"/>
      <c r="P34" s="250"/>
      <c r="Q34" s="250"/>
      <c r="S34" s="31"/>
      <c r="T34" s="31"/>
      <c r="X34" s="50"/>
      <c r="Y34" s="50"/>
      <c r="Z34" s="50"/>
      <c r="AA34" s="50"/>
      <c r="AB34" s="50"/>
      <c r="AM34" s="54">
        <f t="shared" si="5"/>
        <v>0.6000000000000002</v>
      </c>
      <c r="AN34" s="50">
        <v>0</v>
      </c>
      <c r="AO34" s="50">
        <v>0</v>
      </c>
      <c r="AP34" s="50">
        <v>0</v>
      </c>
      <c r="AQ34" s="50">
        <v>0</v>
      </c>
      <c r="AR34" s="150">
        <f t="shared" si="1"/>
        <v>0</v>
      </c>
      <c r="AS34" s="150">
        <f t="shared" si="2"/>
        <v>0</v>
      </c>
      <c r="AT34" s="150">
        <f t="shared" si="3"/>
        <v>0</v>
      </c>
      <c r="AU34" s="150">
        <f t="shared" si="4"/>
        <v>0</v>
      </c>
    </row>
    <row r="35" spans="2:47" ht="12.75" customHeight="1" x14ac:dyDescent="0.3">
      <c r="B35" s="9" t="s">
        <v>67</v>
      </c>
      <c r="C35" s="248" t="str">
        <f>IF(COUNTA(W14:W399991)&gt;0,CONCATENATE(ROUND(PERCENTILE(W14:W50009,0.5),2)," (",ROUND(PERCENTILE(W14:W50009,0.025),2)," - ",ROUND(PERCENTILE(W14:W50009,0.975),2),")"),"")</f>
        <v>0.62 (0.49 - 0.85)</v>
      </c>
      <c r="D35" s="248"/>
      <c r="E35" s="248"/>
      <c r="F35" s="248"/>
      <c r="G35" s="248"/>
      <c r="I35" s="9" t="s">
        <v>67</v>
      </c>
      <c r="J35" s="152"/>
      <c r="K35" s="248" t="str">
        <f>IF(COUNTA(X14:X399991)&gt;0,CONCATENATE(ROUND(PERCENTILE(X14:X50009,0.5),2)," (",ROUND(PERCENTILE(X14:X50009,0.025),2)," - ",ROUND(PERCENTILE(X14:X50009,0.975),2),")"),"")</f>
        <v>0.5 (0.3 - 0.86)</v>
      </c>
      <c r="L35" s="248"/>
      <c r="M35" s="248"/>
      <c r="N35" s="248"/>
      <c r="O35" s="146"/>
      <c r="P35" s="251"/>
      <c r="Q35" s="251"/>
      <c r="X35" s="50"/>
      <c r="Y35" s="50"/>
      <c r="Z35" s="50"/>
      <c r="AA35" s="50"/>
      <c r="AB35" s="50"/>
      <c r="AM35" s="54">
        <f t="shared" si="5"/>
        <v>0.62000000000000022</v>
      </c>
      <c r="AN35" s="50">
        <v>0</v>
      </c>
      <c r="AO35" s="50">
        <v>0</v>
      </c>
      <c r="AP35" s="50">
        <v>0</v>
      </c>
      <c r="AQ35" s="50">
        <v>0</v>
      </c>
      <c r="AR35" s="150">
        <f t="shared" si="1"/>
        <v>0</v>
      </c>
      <c r="AS35" s="150">
        <f t="shared" si="2"/>
        <v>0</v>
      </c>
      <c r="AT35" s="150">
        <f t="shared" si="3"/>
        <v>0</v>
      </c>
      <c r="AU35" s="150">
        <f t="shared" si="4"/>
        <v>0</v>
      </c>
    </row>
    <row r="36" spans="2:47" ht="13" x14ac:dyDescent="0.3">
      <c r="B36" s="1"/>
      <c r="C36" s="1"/>
      <c r="D36" s="151"/>
      <c r="E36" s="151"/>
      <c r="F36" s="151"/>
      <c r="G36" s="151"/>
      <c r="H36" s="151"/>
      <c r="I36" s="151"/>
      <c r="X36" s="50"/>
      <c r="Y36" s="50"/>
      <c r="Z36" s="50"/>
      <c r="AA36" s="50"/>
      <c r="AB36" s="50"/>
      <c r="AM36" s="54">
        <f t="shared" si="5"/>
        <v>0.64000000000000024</v>
      </c>
      <c r="AN36" s="50">
        <v>0</v>
      </c>
      <c r="AO36" s="50">
        <v>0</v>
      </c>
      <c r="AP36" s="50">
        <v>0</v>
      </c>
      <c r="AQ36" s="50">
        <v>0</v>
      </c>
      <c r="AR36" s="150">
        <f t="shared" ref="AR36:AR54" si="6">AN36/AN$55</f>
        <v>0</v>
      </c>
      <c r="AS36" s="150">
        <f t="shared" ref="AS36:AS54" si="7">AO36/AO$55</f>
        <v>0</v>
      </c>
      <c r="AT36" s="150">
        <f t="shared" ref="AT36:AT54" si="8">AP36/AP$55</f>
        <v>0</v>
      </c>
      <c r="AU36" s="150">
        <f t="shared" ref="AU36:AU54" si="9">AQ36/AQ$55</f>
        <v>0</v>
      </c>
    </row>
    <row r="37" spans="2:47" ht="13" x14ac:dyDescent="0.3">
      <c r="B37" s="1"/>
      <c r="C37" s="1"/>
      <c r="D37" s="151"/>
      <c r="E37" s="151"/>
      <c r="F37" s="151"/>
      <c r="G37" s="151"/>
      <c r="H37" s="151"/>
      <c r="I37" s="151"/>
      <c r="X37" s="50"/>
      <c r="Y37" s="50"/>
      <c r="Z37" s="50"/>
      <c r="AA37" s="50"/>
      <c r="AB37" s="50"/>
      <c r="AM37" s="54">
        <f t="shared" ref="AM37:AM53" si="10">AM36+0.02</f>
        <v>0.66000000000000025</v>
      </c>
      <c r="AN37" s="50">
        <v>0</v>
      </c>
      <c r="AO37" s="50">
        <v>0</v>
      </c>
      <c r="AP37" s="50">
        <v>0</v>
      </c>
      <c r="AQ37" s="50">
        <v>0</v>
      </c>
      <c r="AR37" s="150">
        <f t="shared" si="6"/>
        <v>0</v>
      </c>
      <c r="AS37" s="150">
        <f t="shared" si="7"/>
        <v>0</v>
      </c>
      <c r="AT37" s="150">
        <f t="shared" si="8"/>
        <v>0</v>
      </c>
      <c r="AU37" s="150">
        <f t="shared" si="9"/>
        <v>0</v>
      </c>
    </row>
    <row r="38" spans="2:47" x14ac:dyDescent="0.25">
      <c r="G38" s="11"/>
      <c r="H38" s="20"/>
      <c r="X38" s="50"/>
      <c r="Y38" s="50"/>
      <c r="Z38" s="50"/>
      <c r="AA38" s="50"/>
      <c r="AB38" s="50"/>
      <c r="AM38" s="54">
        <f t="shared" si="10"/>
        <v>0.68000000000000027</v>
      </c>
      <c r="AN38" s="50">
        <v>0</v>
      </c>
      <c r="AO38" s="50">
        <v>0</v>
      </c>
      <c r="AP38" s="50">
        <v>0</v>
      </c>
      <c r="AQ38" s="50">
        <v>0</v>
      </c>
      <c r="AR38" s="150">
        <f t="shared" si="6"/>
        <v>0</v>
      </c>
      <c r="AS38" s="150">
        <f t="shared" si="7"/>
        <v>0</v>
      </c>
      <c r="AT38" s="150">
        <f t="shared" si="8"/>
        <v>0</v>
      </c>
      <c r="AU38" s="150">
        <f t="shared" si="9"/>
        <v>0</v>
      </c>
    </row>
    <row r="39" spans="2:47" x14ac:dyDescent="0.25">
      <c r="X39" s="50"/>
      <c r="Y39" s="50"/>
      <c r="Z39" s="50"/>
      <c r="AA39" s="50"/>
      <c r="AB39" s="50"/>
      <c r="AM39" s="54">
        <f t="shared" si="10"/>
        <v>0.70000000000000029</v>
      </c>
      <c r="AN39" s="50">
        <v>0</v>
      </c>
      <c r="AO39" s="50">
        <v>0</v>
      </c>
      <c r="AP39" s="50">
        <v>0</v>
      </c>
      <c r="AQ39" s="50">
        <v>0</v>
      </c>
      <c r="AR39" s="150">
        <f t="shared" si="6"/>
        <v>0</v>
      </c>
      <c r="AS39" s="150">
        <f t="shared" si="7"/>
        <v>0</v>
      </c>
      <c r="AT39" s="150">
        <f t="shared" si="8"/>
        <v>0</v>
      </c>
      <c r="AU39" s="150">
        <f t="shared" si="9"/>
        <v>0</v>
      </c>
    </row>
    <row r="40" spans="2:47" x14ac:dyDescent="0.25">
      <c r="X40" s="50"/>
      <c r="Y40" s="50"/>
      <c r="Z40" s="50"/>
      <c r="AA40" s="50"/>
      <c r="AB40" s="50"/>
      <c r="AM40" s="54">
        <f t="shared" si="10"/>
        <v>0.72000000000000031</v>
      </c>
      <c r="AN40" s="50">
        <v>0</v>
      </c>
      <c r="AO40" s="50">
        <v>0</v>
      </c>
      <c r="AP40" s="50">
        <v>0</v>
      </c>
      <c r="AQ40" s="50">
        <v>0</v>
      </c>
      <c r="AR40" s="150">
        <f t="shared" si="6"/>
        <v>0</v>
      </c>
      <c r="AS40" s="150">
        <f t="shared" si="7"/>
        <v>0</v>
      </c>
      <c r="AT40" s="150">
        <f t="shared" si="8"/>
        <v>0</v>
      </c>
      <c r="AU40" s="150">
        <f t="shared" si="9"/>
        <v>0</v>
      </c>
    </row>
    <row r="41" spans="2:47" x14ac:dyDescent="0.25">
      <c r="X41" s="50"/>
      <c r="Y41" s="50"/>
      <c r="Z41" s="50"/>
      <c r="AA41" s="50"/>
      <c r="AB41" s="50"/>
      <c r="AM41" s="54">
        <f t="shared" si="10"/>
        <v>0.74000000000000032</v>
      </c>
      <c r="AN41" s="50">
        <v>0</v>
      </c>
      <c r="AO41" s="50">
        <v>0</v>
      </c>
      <c r="AP41" s="50">
        <v>0</v>
      </c>
      <c r="AQ41" s="50">
        <v>0</v>
      </c>
      <c r="AR41" s="150">
        <f t="shared" si="6"/>
        <v>0</v>
      </c>
      <c r="AS41" s="150">
        <f t="shared" si="7"/>
        <v>0</v>
      </c>
      <c r="AT41" s="150">
        <f t="shared" si="8"/>
        <v>0</v>
      </c>
      <c r="AU41" s="150">
        <f t="shared" si="9"/>
        <v>0</v>
      </c>
    </row>
    <row r="42" spans="2:47" ht="13" x14ac:dyDescent="0.3">
      <c r="T42" s="1"/>
      <c r="X42" s="50"/>
      <c r="Y42" s="50"/>
      <c r="Z42" s="50"/>
      <c r="AA42" s="50"/>
      <c r="AB42" s="50"/>
      <c r="AM42" s="54">
        <f t="shared" si="10"/>
        <v>0.76000000000000034</v>
      </c>
      <c r="AN42" s="50">
        <v>0</v>
      </c>
      <c r="AO42" s="50">
        <v>0</v>
      </c>
      <c r="AP42" s="50">
        <v>0</v>
      </c>
      <c r="AQ42" s="50">
        <v>0</v>
      </c>
      <c r="AR42" s="150">
        <f t="shared" si="6"/>
        <v>0</v>
      </c>
      <c r="AS42" s="150">
        <f t="shared" si="7"/>
        <v>0</v>
      </c>
      <c r="AT42" s="150">
        <f t="shared" si="8"/>
        <v>0</v>
      </c>
      <c r="AU42" s="150">
        <f t="shared" si="9"/>
        <v>0</v>
      </c>
    </row>
    <row r="43" spans="2:47" ht="13" x14ac:dyDescent="0.3">
      <c r="T43" s="147"/>
      <c r="X43" s="50"/>
      <c r="Y43" s="50"/>
      <c r="Z43" s="50"/>
      <c r="AA43" s="50"/>
      <c r="AB43" s="50"/>
      <c r="AM43" s="54">
        <f t="shared" si="10"/>
        <v>0.78000000000000036</v>
      </c>
      <c r="AN43" s="50">
        <v>0</v>
      </c>
      <c r="AO43" s="50">
        <v>0</v>
      </c>
      <c r="AP43" s="50">
        <v>0</v>
      </c>
      <c r="AQ43" s="50">
        <v>0</v>
      </c>
      <c r="AR43" s="150">
        <f t="shared" si="6"/>
        <v>0</v>
      </c>
      <c r="AS43" s="150">
        <f t="shared" si="7"/>
        <v>0</v>
      </c>
      <c r="AT43" s="150">
        <f t="shared" si="8"/>
        <v>0</v>
      </c>
      <c r="AU43" s="150">
        <f t="shared" si="9"/>
        <v>0</v>
      </c>
    </row>
    <row r="44" spans="2:47" ht="13" x14ac:dyDescent="0.3">
      <c r="T44" s="147"/>
      <c r="X44" s="50"/>
      <c r="Y44" s="50"/>
      <c r="Z44" s="50"/>
      <c r="AA44" s="50"/>
      <c r="AB44" s="50"/>
      <c r="AM44" s="54">
        <f t="shared" si="10"/>
        <v>0.80000000000000038</v>
      </c>
      <c r="AN44" s="50">
        <v>0</v>
      </c>
      <c r="AO44" s="50">
        <v>0</v>
      </c>
      <c r="AP44" s="50">
        <v>0</v>
      </c>
      <c r="AQ44" s="50">
        <v>0</v>
      </c>
      <c r="AR44" s="150">
        <f t="shared" si="6"/>
        <v>0</v>
      </c>
      <c r="AS44" s="150">
        <f t="shared" si="7"/>
        <v>0</v>
      </c>
      <c r="AT44" s="150">
        <f t="shared" si="8"/>
        <v>0</v>
      </c>
      <c r="AU44" s="150">
        <f t="shared" si="9"/>
        <v>0</v>
      </c>
    </row>
    <row r="45" spans="2:47" x14ac:dyDescent="0.25">
      <c r="T45" s="144"/>
      <c r="X45" s="50"/>
      <c r="Y45" s="50"/>
      <c r="Z45" s="50"/>
      <c r="AA45" s="50"/>
      <c r="AB45" s="50"/>
      <c r="AM45" s="54">
        <f t="shared" si="10"/>
        <v>0.8200000000000004</v>
      </c>
      <c r="AN45" s="50">
        <v>0</v>
      </c>
      <c r="AO45" s="50">
        <v>0</v>
      </c>
      <c r="AP45" s="50">
        <v>0</v>
      </c>
      <c r="AQ45" s="50">
        <v>0</v>
      </c>
      <c r="AR45" s="150">
        <f t="shared" si="6"/>
        <v>0</v>
      </c>
      <c r="AS45" s="150">
        <f t="shared" si="7"/>
        <v>0</v>
      </c>
      <c r="AT45" s="150">
        <f t="shared" si="8"/>
        <v>0</v>
      </c>
      <c r="AU45" s="150">
        <f t="shared" si="9"/>
        <v>0</v>
      </c>
    </row>
    <row r="46" spans="2:47" x14ac:dyDescent="0.25">
      <c r="T46" s="144"/>
      <c r="X46" s="50"/>
      <c r="Y46" s="50"/>
      <c r="Z46" s="50"/>
      <c r="AA46" s="50"/>
      <c r="AB46" s="50"/>
      <c r="AM46" s="54">
        <f t="shared" si="10"/>
        <v>0.84000000000000041</v>
      </c>
      <c r="AN46" s="50">
        <v>0</v>
      </c>
      <c r="AO46" s="50">
        <v>0</v>
      </c>
      <c r="AP46" s="50">
        <v>0</v>
      </c>
      <c r="AQ46" s="50">
        <v>0</v>
      </c>
      <c r="AR46" s="150">
        <f t="shared" si="6"/>
        <v>0</v>
      </c>
      <c r="AS46" s="150">
        <f t="shared" si="7"/>
        <v>0</v>
      </c>
      <c r="AT46" s="150">
        <f t="shared" si="8"/>
        <v>0</v>
      </c>
      <c r="AU46" s="150">
        <f t="shared" si="9"/>
        <v>0</v>
      </c>
    </row>
    <row r="47" spans="2:47" x14ac:dyDescent="0.25">
      <c r="T47" s="144"/>
      <c r="X47" s="50"/>
      <c r="Y47" s="50"/>
      <c r="Z47" s="50"/>
      <c r="AA47" s="50"/>
      <c r="AB47" s="50"/>
      <c r="AM47" s="54">
        <f t="shared" si="10"/>
        <v>0.86000000000000043</v>
      </c>
      <c r="AN47" s="50">
        <v>0</v>
      </c>
      <c r="AO47" s="50">
        <v>0</v>
      </c>
      <c r="AP47" s="50">
        <v>0</v>
      </c>
      <c r="AQ47" s="50">
        <v>0</v>
      </c>
      <c r="AR47" s="150">
        <f t="shared" si="6"/>
        <v>0</v>
      </c>
      <c r="AS47" s="150">
        <f t="shared" si="7"/>
        <v>0</v>
      </c>
      <c r="AT47" s="150">
        <f t="shared" si="8"/>
        <v>0</v>
      </c>
      <c r="AU47" s="150">
        <f t="shared" si="9"/>
        <v>0</v>
      </c>
    </row>
    <row r="48" spans="2:47" x14ac:dyDescent="0.25">
      <c r="X48" s="50"/>
      <c r="Y48" s="50"/>
      <c r="Z48" s="50"/>
      <c r="AA48" s="50"/>
      <c r="AB48" s="50"/>
      <c r="AM48" s="54">
        <f t="shared" si="10"/>
        <v>0.88000000000000045</v>
      </c>
      <c r="AN48" s="50">
        <v>0</v>
      </c>
      <c r="AO48" s="50">
        <v>0</v>
      </c>
      <c r="AP48" s="50">
        <v>0</v>
      </c>
      <c r="AQ48" s="50">
        <v>0</v>
      </c>
      <c r="AR48" s="150">
        <f t="shared" si="6"/>
        <v>0</v>
      </c>
      <c r="AS48" s="150">
        <f t="shared" si="7"/>
        <v>0</v>
      </c>
      <c r="AT48" s="150">
        <f t="shared" si="8"/>
        <v>0</v>
      </c>
      <c r="AU48" s="150">
        <f t="shared" si="9"/>
        <v>0</v>
      </c>
    </row>
    <row r="49" spans="2:47" ht="13" x14ac:dyDescent="0.3">
      <c r="S49" s="24"/>
      <c r="T49" s="24"/>
      <c r="X49" s="50"/>
      <c r="Y49" s="50"/>
      <c r="Z49" s="50"/>
      <c r="AA49" s="50"/>
      <c r="AB49" s="50"/>
      <c r="AM49" s="54">
        <f t="shared" si="10"/>
        <v>0.90000000000000047</v>
      </c>
      <c r="AN49" s="50">
        <v>0</v>
      </c>
      <c r="AO49" s="50">
        <v>0</v>
      </c>
      <c r="AP49" s="50">
        <v>0</v>
      </c>
      <c r="AQ49" s="50">
        <v>0</v>
      </c>
      <c r="AR49" s="150">
        <f t="shared" si="6"/>
        <v>0</v>
      </c>
      <c r="AS49" s="150">
        <f t="shared" si="7"/>
        <v>0</v>
      </c>
      <c r="AT49" s="150">
        <f t="shared" si="8"/>
        <v>0</v>
      </c>
      <c r="AU49" s="150">
        <f t="shared" si="9"/>
        <v>0</v>
      </c>
    </row>
    <row r="50" spans="2:47" x14ac:dyDescent="0.25">
      <c r="X50" s="50"/>
      <c r="Y50" s="50"/>
      <c r="Z50" s="50"/>
      <c r="AA50" s="50"/>
      <c r="AB50" s="50"/>
      <c r="AM50" s="54">
        <f t="shared" si="10"/>
        <v>0.92000000000000048</v>
      </c>
      <c r="AN50" s="50">
        <v>0</v>
      </c>
      <c r="AO50" s="50">
        <v>0</v>
      </c>
      <c r="AP50" s="50">
        <v>0</v>
      </c>
      <c r="AQ50" s="50">
        <v>0</v>
      </c>
      <c r="AR50" s="150">
        <f t="shared" si="6"/>
        <v>0</v>
      </c>
      <c r="AS50" s="150">
        <f t="shared" si="7"/>
        <v>0</v>
      </c>
      <c r="AT50" s="150">
        <f t="shared" si="8"/>
        <v>0</v>
      </c>
      <c r="AU50" s="150">
        <f t="shared" si="9"/>
        <v>0</v>
      </c>
    </row>
    <row r="51" spans="2:47" x14ac:dyDescent="0.25">
      <c r="X51" s="50"/>
      <c r="Y51" s="50"/>
      <c r="Z51" s="50"/>
      <c r="AA51" s="50"/>
      <c r="AB51" s="50"/>
      <c r="AM51" s="54">
        <f t="shared" si="10"/>
        <v>0.9400000000000005</v>
      </c>
      <c r="AN51" s="50">
        <v>0</v>
      </c>
      <c r="AO51" s="50">
        <v>0</v>
      </c>
      <c r="AP51" s="50">
        <v>0</v>
      </c>
      <c r="AQ51" s="50">
        <v>0</v>
      </c>
      <c r="AR51" s="150">
        <f t="shared" si="6"/>
        <v>0</v>
      </c>
      <c r="AS51" s="150">
        <f t="shared" si="7"/>
        <v>0</v>
      </c>
      <c r="AT51" s="150">
        <f t="shared" si="8"/>
        <v>0</v>
      </c>
      <c r="AU51" s="150">
        <f t="shared" si="9"/>
        <v>0</v>
      </c>
    </row>
    <row r="52" spans="2:47" x14ac:dyDescent="0.25">
      <c r="X52" s="50"/>
      <c r="Y52" s="50"/>
      <c r="Z52" s="50"/>
      <c r="AA52" s="50"/>
      <c r="AB52" s="50"/>
      <c r="AM52" s="54">
        <f t="shared" si="10"/>
        <v>0.96000000000000052</v>
      </c>
      <c r="AN52" s="50">
        <v>0</v>
      </c>
      <c r="AO52" s="50">
        <v>0</v>
      </c>
      <c r="AP52" s="50">
        <v>0</v>
      </c>
      <c r="AQ52" s="50">
        <v>0</v>
      </c>
      <c r="AR52" s="150">
        <f t="shared" si="6"/>
        <v>0</v>
      </c>
      <c r="AS52" s="150">
        <f t="shared" si="7"/>
        <v>0</v>
      </c>
      <c r="AT52" s="150">
        <f t="shared" si="8"/>
        <v>0</v>
      </c>
      <c r="AU52" s="150">
        <f t="shared" si="9"/>
        <v>0</v>
      </c>
    </row>
    <row r="53" spans="2:47" x14ac:dyDescent="0.25">
      <c r="X53" s="50"/>
      <c r="Y53" s="50"/>
      <c r="Z53" s="50"/>
      <c r="AA53" s="50"/>
      <c r="AB53" s="50"/>
      <c r="AM53" s="54">
        <f t="shared" si="10"/>
        <v>0.98000000000000054</v>
      </c>
      <c r="AN53" s="50">
        <v>0</v>
      </c>
      <c r="AO53" s="50">
        <v>0</v>
      </c>
      <c r="AP53" s="50">
        <v>0</v>
      </c>
      <c r="AQ53" s="50">
        <v>0</v>
      </c>
      <c r="AR53" s="150">
        <f t="shared" si="6"/>
        <v>0</v>
      </c>
      <c r="AS53" s="150">
        <f t="shared" si="7"/>
        <v>0</v>
      </c>
      <c r="AT53" s="150">
        <f t="shared" si="8"/>
        <v>0</v>
      </c>
      <c r="AU53" s="150">
        <f t="shared" si="9"/>
        <v>0</v>
      </c>
    </row>
    <row r="54" spans="2:47" x14ac:dyDescent="0.25">
      <c r="X54" s="50"/>
      <c r="Y54" s="50"/>
      <c r="Z54" s="50"/>
      <c r="AA54" s="50"/>
      <c r="AB54" s="50"/>
      <c r="AM54" s="54">
        <v>1</v>
      </c>
      <c r="AN54" s="50">
        <v>0</v>
      </c>
      <c r="AO54" s="50">
        <v>0</v>
      </c>
      <c r="AP54" s="50">
        <v>0</v>
      </c>
      <c r="AQ54" s="50">
        <v>0</v>
      </c>
      <c r="AR54" s="150">
        <f t="shared" si="6"/>
        <v>0</v>
      </c>
      <c r="AS54" s="150">
        <f t="shared" si="7"/>
        <v>0</v>
      </c>
      <c r="AT54" s="150">
        <f t="shared" si="8"/>
        <v>0</v>
      </c>
      <c r="AU54" s="150">
        <f t="shared" si="9"/>
        <v>0</v>
      </c>
    </row>
    <row r="55" spans="2:47" x14ac:dyDescent="0.25">
      <c r="X55" s="50"/>
      <c r="Y55" s="50"/>
      <c r="Z55" s="50"/>
      <c r="AA55" s="50"/>
      <c r="AB55" s="50"/>
      <c r="AM55" s="54"/>
      <c r="AN55" s="50">
        <f>SUM(AN4:AN54)</f>
        <v>2</v>
      </c>
      <c r="AO55" s="50">
        <f>SUM(AO4:AO54)</f>
        <v>2</v>
      </c>
      <c r="AP55" s="50">
        <f>SUM(AP4:AP54)</f>
        <v>2</v>
      </c>
      <c r="AQ55" s="50">
        <f>SUM(AQ4:AQ54)</f>
        <v>2</v>
      </c>
      <c r="AR55" s="50"/>
      <c r="AS55" s="50"/>
      <c r="AT55" s="50"/>
      <c r="AU55" s="50"/>
    </row>
    <row r="56" spans="2:47" x14ac:dyDescent="0.25">
      <c r="X56" s="50"/>
      <c r="Y56" s="50"/>
      <c r="Z56" s="50"/>
      <c r="AA56" s="50"/>
      <c r="AB56" s="50"/>
    </row>
    <row r="57" spans="2:47" x14ac:dyDescent="0.25">
      <c r="X57" s="50"/>
      <c r="Y57" s="50"/>
      <c r="Z57" s="50"/>
      <c r="AA57" s="50"/>
      <c r="AB57" s="50"/>
    </row>
    <row r="58" spans="2:47" x14ac:dyDescent="0.25">
      <c r="X58" s="50"/>
      <c r="Y58" s="50"/>
      <c r="Z58" s="50"/>
      <c r="AA58" s="50"/>
      <c r="AB58" s="50"/>
    </row>
    <row r="59" spans="2:47" x14ac:dyDescent="0.25">
      <c r="X59" s="50"/>
      <c r="Y59" s="50"/>
      <c r="Z59" s="50"/>
      <c r="AA59" s="50"/>
      <c r="AB59" s="50"/>
    </row>
    <row r="60" spans="2:47" x14ac:dyDescent="0.25">
      <c r="J60" s="149"/>
      <c r="X60" s="50"/>
      <c r="Y60" s="50"/>
      <c r="Z60" s="50"/>
      <c r="AA60" s="50"/>
      <c r="AB60" s="50"/>
    </row>
    <row r="61" spans="2:47" x14ac:dyDescent="0.25">
      <c r="J61" s="149"/>
      <c r="X61" s="50"/>
      <c r="Y61" s="50"/>
      <c r="Z61" s="50"/>
      <c r="AA61" s="50"/>
      <c r="AB61" s="50"/>
    </row>
    <row r="62" spans="2:47" ht="13" x14ac:dyDescent="0.3">
      <c r="B62" s="21" t="s">
        <v>9</v>
      </c>
      <c r="C62" s="21"/>
      <c r="D62" s="21"/>
      <c r="E62" s="21"/>
      <c r="F62" s="21"/>
      <c r="G62" s="21"/>
      <c r="H62" s="148"/>
      <c r="I62" s="21"/>
      <c r="J62" s="21"/>
      <c r="K62" s="21"/>
      <c r="L62" s="21"/>
      <c r="M62" s="21"/>
      <c r="N62" s="21"/>
      <c r="O62" s="21"/>
      <c r="P62" s="21"/>
      <c r="Q62" s="21"/>
      <c r="R62" s="21"/>
      <c r="X62" s="50"/>
      <c r="Y62" s="50"/>
      <c r="Z62" s="50"/>
      <c r="AA62" s="50"/>
      <c r="AB62" s="50"/>
    </row>
    <row r="69" spans="2:14" x14ac:dyDescent="0.25">
      <c r="B69" s="131" t="s">
        <v>195</v>
      </c>
      <c r="C69" s="145"/>
      <c r="D69" s="145"/>
      <c r="E69" s="145"/>
      <c r="F69" s="145"/>
      <c r="G69" s="145"/>
      <c r="H69" s="145"/>
      <c r="I69" s="298"/>
      <c r="J69" s="298"/>
      <c r="K69" s="298"/>
      <c r="L69" s="298"/>
      <c r="M69" s="298"/>
      <c r="N69" s="298"/>
    </row>
    <row r="70" spans="2:14" x14ac:dyDescent="0.25">
      <c r="I70" s="298"/>
      <c r="J70" s="298"/>
      <c r="K70" s="298"/>
      <c r="L70" s="298"/>
      <c r="M70" s="298"/>
      <c r="N70" s="298"/>
    </row>
  </sheetData>
  <mergeCells count="61">
    <mergeCell ref="P33:Q35"/>
    <mergeCell ref="C33:G33"/>
    <mergeCell ref="K33:N33"/>
    <mergeCell ref="C34:G34"/>
    <mergeCell ref="K34:N34"/>
    <mergeCell ref="C35:G35"/>
    <mergeCell ref="K35:N35"/>
    <mergeCell ref="M16:N16"/>
    <mergeCell ref="B19:B20"/>
    <mergeCell ref="C19:C20"/>
    <mergeCell ref="E19:E20"/>
    <mergeCell ref="H19:H20"/>
    <mergeCell ref="J19:J20"/>
    <mergeCell ref="AM2:AQ2"/>
    <mergeCell ref="O21:O22"/>
    <mergeCell ref="H23:K23"/>
    <mergeCell ref="M17:M18"/>
    <mergeCell ref="O17:O18"/>
    <mergeCell ref="K10:M10"/>
    <mergeCell ref="H15:K15"/>
    <mergeCell ref="M15:P15"/>
    <mergeCell ref="H17:H18"/>
    <mergeCell ref="O16:P16"/>
    <mergeCell ref="B14:R14"/>
    <mergeCell ref="C15:F15"/>
    <mergeCell ref="C16:D16"/>
    <mergeCell ref="E16:F16"/>
    <mergeCell ref="H16:I16"/>
    <mergeCell ref="J16:K16"/>
    <mergeCell ref="P31:Q32"/>
    <mergeCell ref="C26:F26"/>
    <mergeCell ref="C27:F27"/>
    <mergeCell ref="B29:Q29"/>
    <mergeCell ref="B31:G31"/>
    <mergeCell ref="I25:L25"/>
    <mergeCell ref="C25:F25"/>
    <mergeCell ref="J21:J22"/>
    <mergeCell ref="C32:G32"/>
    <mergeCell ref="J32:N32"/>
    <mergeCell ref="I69:N69"/>
    <mergeCell ref="I70:N70"/>
    <mergeCell ref="M23:P23"/>
    <mergeCell ref="J17:J18"/>
    <mergeCell ref="B24:R24"/>
    <mergeCell ref="M21:M22"/>
    <mergeCell ref="M19:M20"/>
    <mergeCell ref="O19:O20"/>
    <mergeCell ref="B17:B18"/>
    <mergeCell ref="C17:C18"/>
    <mergeCell ref="E17:E18"/>
    <mergeCell ref="B21:B22"/>
    <mergeCell ref="C21:C22"/>
    <mergeCell ref="E21:E22"/>
    <mergeCell ref="H21:H22"/>
    <mergeCell ref="I31:N31"/>
    <mergeCell ref="Z1:AB1"/>
    <mergeCell ref="K6:R6"/>
    <mergeCell ref="B6:I6"/>
    <mergeCell ref="K9:M9"/>
    <mergeCell ref="K8:M8"/>
    <mergeCell ref="P2:R2"/>
  </mergeCells>
  <pageMargins left="0.75" right="0.75" top="1" bottom="1" header="0.5" footer="0.5"/>
  <pageSetup orientation="portrait" verticalDpi="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6" r:id="rId3" name="Button 16">
              <controlPr defaultSize="0" print="0" autoFill="0" autoPict="0" macro="[0]!ThisWorkbook.sel_bias">
                <anchor moveWithCells="1" sizeWithCells="1">
                  <from>
                    <xdr:col>9</xdr:col>
                    <xdr:colOff>139700</xdr:colOff>
                    <xdr:row>10</xdr:row>
                    <xdr:rowOff>101600</xdr:rowOff>
                  </from>
                  <to>
                    <xdr:col>12</xdr:col>
                    <xdr:colOff>317500</xdr:colOff>
                    <xdr:row>12</xdr:row>
                    <xdr:rowOff>25400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Cover</vt:lpstr>
      <vt:lpstr>Exp Misc</vt:lpstr>
      <vt:lpstr>Dis Misc</vt:lpstr>
      <vt:lpstr>Unmeas Conf</vt:lpstr>
      <vt:lpstr>Sel Bias</vt:lpstr>
    </vt:vector>
  </TitlesOfParts>
  <Company>Office of Information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Work</dc:creator>
  <cp:lastModifiedBy>Fox, Matthew</cp:lastModifiedBy>
  <dcterms:created xsi:type="dcterms:W3CDTF">2006-04-24T18:31:19Z</dcterms:created>
  <dcterms:modified xsi:type="dcterms:W3CDTF">2026-09-09T20:17:56Z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